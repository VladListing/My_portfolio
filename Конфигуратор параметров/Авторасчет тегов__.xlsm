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120" yWindow="105" windowWidth="15120" windowHeight="8010" tabRatio="937"/>
  </bookViews>
  <sheets>
    <sheet name="_АНАЛОГОВЫЙ_Bx_(NEW)_" sheetId="17" r:id="rId1"/>
  </sheets>
  <functionGroups builtInGroupCount="17"/>
  <definedNames>
    <definedName name="_xlnm.Print_Area" localSheetId="0">'_АНАЛОГОВЫЙ_Bx_(NEW)_'!$A$1:$CC$29</definedName>
  </definedNames>
  <calcPr calcId="145621"/>
</workbook>
</file>

<file path=xl/calcChain.xml><?xml version="1.0" encoding="utf-8"?>
<calcChain xmlns="http://schemas.openxmlformats.org/spreadsheetml/2006/main">
  <c r="Z253" i="17" l="1"/>
  <c r="G27" i="17"/>
  <c r="Y270" i="17" s="1"/>
  <c r="G26" i="17"/>
  <c r="Y269" i="17" s="1"/>
  <c r="G21" i="17"/>
  <c r="Y264" i="17" s="1"/>
  <c r="G18" i="17"/>
  <c r="Y261" i="17" s="1"/>
  <c r="G17" i="17"/>
  <c r="Y260" i="17" s="1"/>
  <c r="G16" i="17"/>
  <c r="Y259" i="17" s="1"/>
  <c r="G15" i="17"/>
  <c r="Y258" i="17" s="1"/>
  <c r="G13" i="17"/>
  <c r="Y256" i="17" s="1"/>
  <c r="G11" i="17"/>
  <c r="Y254" i="17" s="1"/>
  <c r="Z11" i="17" l="1"/>
  <c r="AB254" i="17" s="1"/>
  <c r="Z12" i="17" l="1"/>
  <c r="AB255" i="17" s="1"/>
  <c r="Y12" i="17"/>
  <c r="V11" i="17" l="1"/>
  <c r="P9" i="17" l="1"/>
  <c r="BL10" i="17" l="1"/>
  <c r="AV27" i="17" l="1"/>
  <c r="AN27" i="17"/>
  <c r="AI27" i="17"/>
  <c r="AH27" i="17"/>
  <c r="Z27" i="17"/>
  <c r="AB270" i="17" s="1"/>
  <c r="V27" i="17"/>
  <c r="J27" i="17"/>
  <c r="AV26" i="17"/>
  <c r="AN26" i="17"/>
  <c r="AI26" i="17"/>
  <c r="AH26" i="17"/>
  <c r="Z26" i="17"/>
  <c r="AB269" i="17" s="1"/>
  <c r="V26" i="17"/>
  <c r="J26" i="17"/>
  <c r="AV25" i="17"/>
  <c r="AN25" i="17"/>
  <c r="AI25" i="17"/>
  <c r="AH25" i="17"/>
  <c r="Z25" i="17"/>
  <c r="AB268" i="17" s="1"/>
  <c r="V25" i="17"/>
  <c r="J25" i="17"/>
  <c r="G25" i="17"/>
  <c r="Y268" i="17" s="1"/>
  <c r="AV24" i="17"/>
  <c r="AN24" i="17"/>
  <c r="AI24" i="17"/>
  <c r="AH24" i="17"/>
  <c r="Z24" i="17"/>
  <c r="AB267" i="17" s="1"/>
  <c r="V24" i="17"/>
  <c r="J24" i="17"/>
  <c r="G24" i="17"/>
  <c r="Y267" i="17" s="1"/>
  <c r="AV23" i="17"/>
  <c r="AN23" i="17"/>
  <c r="AI23" i="17"/>
  <c r="AH23" i="17"/>
  <c r="Z23" i="17"/>
  <c r="AB266" i="17" s="1"/>
  <c r="V23" i="17"/>
  <c r="J23" i="17"/>
  <c r="G23" i="17"/>
  <c r="Y266" i="17" s="1"/>
  <c r="AV22" i="17"/>
  <c r="AN22" i="17"/>
  <c r="AI22" i="17"/>
  <c r="AH22" i="17"/>
  <c r="Z22" i="17"/>
  <c r="AB265" i="17" s="1"/>
  <c r="V22" i="17"/>
  <c r="J22" i="17"/>
  <c r="G22" i="17"/>
  <c r="Y265" i="17" s="1"/>
  <c r="AV21" i="17"/>
  <c r="Z21" i="17"/>
  <c r="AB264" i="17" s="1"/>
  <c r="V21" i="17"/>
  <c r="J21" i="17"/>
  <c r="AV20" i="17"/>
  <c r="AN20" i="17"/>
  <c r="AI20" i="17"/>
  <c r="AH20" i="17"/>
  <c r="Z20" i="17"/>
  <c r="AB263" i="17" s="1"/>
  <c r="V20" i="17"/>
  <c r="J20" i="17"/>
  <c r="G20" i="17"/>
  <c r="Y263" i="17" s="1"/>
  <c r="AV19" i="17"/>
  <c r="AN19" i="17"/>
  <c r="AI19" i="17"/>
  <c r="AH19" i="17"/>
  <c r="Z19" i="17"/>
  <c r="AB262" i="17" s="1"/>
  <c r="V19" i="17"/>
  <c r="J19" i="17"/>
  <c r="G19" i="17"/>
  <c r="Y262" i="17" s="1"/>
  <c r="AV18" i="17"/>
  <c r="Z18" i="17"/>
  <c r="AB261" i="17" s="1"/>
  <c r="V18" i="17"/>
  <c r="J18" i="17"/>
  <c r="AV17" i="17"/>
  <c r="Z17" i="17"/>
  <c r="AB260" i="17" s="1"/>
  <c r="V17" i="17"/>
  <c r="J17" i="17"/>
  <c r="AV16" i="17"/>
  <c r="AN16" i="17"/>
  <c r="AI16" i="17"/>
  <c r="AH16" i="17"/>
  <c r="Z16" i="17"/>
  <c r="AB259" i="17" s="1"/>
  <c r="V16" i="17"/>
  <c r="J16" i="17"/>
  <c r="AV15" i="17"/>
  <c r="AN15" i="17"/>
  <c r="AI15" i="17"/>
  <c r="AH15" i="17"/>
  <c r="Z15" i="17"/>
  <c r="AB258" i="17" s="1"/>
  <c r="V15" i="17"/>
  <c r="J15" i="17"/>
  <c r="AV14" i="17"/>
  <c r="Z14" i="17"/>
  <c r="AB257" i="17" s="1"/>
  <c r="V14" i="17"/>
  <c r="J14" i="17"/>
  <c r="G14" i="17"/>
  <c r="Y257" i="17" s="1"/>
  <c r="AV13" i="17"/>
  <c r="Z13" i="17"/>
  <c r="AB256" i="17" s="1"/>
  <c r="V13" i="17"/>
  <c r="J13" i="17"/>
  <c r="AV12" i="17"/>
  <c r="AN12" i="17"/>
  <c r="AI12" i="17"/>
  <c r="AH12" i="17"/>
  <c r="V12" i="17"/>
  <c r="J12" i="17"/>
  <c r="G12" i="17"/>
  <c r="Y255" i="17" s="1"/>
  <c r="E12" i="17"/>
  <c r="Z10" i="17" s="1"/>
  <c r="AV11" i="17"/>
  <c r="J11" i="17"/>
  <c r="Y253" i="17" l="1"/>
  <c r="AB253" i="17"/>
  <c r="B10" i="17"/>
  <c r="Y286" i="17" l="1"/>
  <c r="AY27" i="17"/>
  <c r="AZ27" i="17" s="1"/>
  <c r="BL27" i="17" s="1"/>
  <c r="P27" i="17"/>
  <c r="M27" i="17"/>
  <c r="N27" i="17" s="1"/>
  <c r="Z270" i="17" s="1"/>
  <c r="Y303" i="17" s="1"/>
  <c r="AY26" i="17"/>
  <c r="AZ26" i="17" s="1"/>
  <c r="BL26" i="17" s="1"/>
  <c r="P26" i="17"/>
  <c r="M26" i="17"/>
  <c r="N26" i="17" s="1"/>
  <c r="Z269" i="17" s="1"/>
  <c r="Y302" i="17" s="1"/>
  <c r="AY25" i="17"/>
  <c r="AZ25" i="17" s="1"/>
  <c r="BL25" i="17" s="1"/>
  <c r="P25" i="17"/>
  <c r="M25" i="17"/>
  <c r="N25" i="17" s="1"/>
  <c r="Z268" i="17" s="1"/>
  <c r="Y301" i="17" s="1"/>
  <c r="AY24" i="17"/>
  <c r="AZ24" i="17" s="1"/>
  <c r="BL24" i="17" s="1"/>
  <c r="P24" i="17"/>
  <c r="M24" i="17"/>
  <c r="N24" i="17" s="1"/>
  <c r="Z267" i="17" s="1"/>
  <c r="Y300" i="17" s="1"/>
  <c r="AY23" i="17"/>
  <c r="AZ23" i="17" s="1"/>
  <c r="BL23" i="17" s="1"/>
  <c r="P23" i="17"/>
  <c r="M23" i="17"/>
  <c r="N23" i="17" s="1"/>
  <c r="Z266" i="17" s="1"/>
  <c r="Y299" i="17" s="1"/>
  <c r="AY22" i="17"/>
  <c r="AZ22" i="17" s="1"/>
  <c r="BL22" i="17" s="1"/>
  <c r="P22" i="17"/>
  <c r="M22" i="17"/>
  <c r="N22" i="17" s="1"/>
  <c r="Z265" i="17" s="1"/>
  <c r="Y298" i="17" s="1"/>
  <c r="AY21" i="17"/>
  <c r="AZ21" i="17" s="1"/>
  <c r="BL21" i="17" s="1"/>
  <c r="P21" i="17"/>
  <c r="M21" i="17"/>
  <c r="N21" i="17" s="1"/>
  <c r="Z264" i="17" s="1"/>
  <c r="Y297" i="17" s="1"/>
  <c r="AY20" i="17"/>
  <c r="AZ20" i="17" s="1"/>
  <c r="BL20" i="17" s="1"/>
  <c r="P20" i="17"/>
  <c r="M20" i="17"/>
  <c r="N20" i="17" s="1"/>
  <c r="Z263" i="17" s="1"/>
  <c r="Y296" i="17" s="1"/>
  <c r="AY19" i="17"/>
  <c r="AZ19" i="17" s="1"/>
  <c r="BL19" i="17" s="1"/>
  <c r="P19" i="17"/>
  <c r="M19" i="17"/>
  <c r="N19" i="17" s="1"/>
  <c r="Z262" i="17" s="1"/>
  <c r="Y295" i="17" s="1"/>
  <c r="P18" i="17"/>
  <c r="M18" i="17"/>
  <c r="N18" i="17" s="1"/>
  <c r="Z261" i="17" s="1"/>
  <c r="Y294" i="17" s="1"/>
  <c r="AY17" i="17"/>
  <c r="AZ17" i="17" s="1"/>
  <c r="BL17" i="17" s="1"/>
  <c r="P17" i="17"/>
  <c r="M17" i="17"/>
  <c r="N17" i="17" s="1"/>
  <c r="Z260" i="17" s="1"/>
  <c r="Y293" i="17" s="1"/>
  <c r="AY16" i="17"/>
  <c r="AZ16" i="17" s="1"/>
  <c r="BL16" i="17" s="1"/>
  <c r="P16" i="17"/>
  <c r="AY18" i="17" s="1"/>
  <c r="AZ18" i="17" s="1"/>
  <c r="BL18" i="17" s="1"/>
  <c r="M16" i="17"/>
  <c r="N16" i="17" s="1"/>
  <c r="Z259" i="17" s="1"/>
  <c r="Y292" i="17" s="1"/>
  <c r="P15" i="17"/>
  <c r="M15" i="17"/>
  <c r="N15" i="17" s="1"/>
  <c r="Z258" i="17" s="1"/>
  <c r="Y291" i="17" s="1"/>
  <c r="AY14" i="17"/>
  <c r="AZ14" i="17" s="1"/>
  <c r="BL14" i="17" s="1"/>
  <c r="P14" i="17"/>
  <c r="M14" i="17"/>
  <c r="N14" i="17" s="1"/>
  <c r="AY13" i="17"/>
  <c r="AZ13" i="17" s="1"/>
  <c r="BL13" i="17" s="1"/>
  <c r="P13" i="17"/>
  <c r="AY15" i="17" s="1"/>
  <c r="AZ15" i="17" s="1"/>
  <c r="BL15" i="17" s="1"/>
  <c r="M13" i="17"/>
  <c r="N13" i="17" s="1"/>
  <c r="Z256" i="17" s="1"/>
  <c r="Y289" i="17" s="1"/>
  <c r="AY12" i="17"/>
  <c r="AZ12" i="17" s="1"/>
  <c r="BL12" i="17" s="1"/>
  <c r="P12" i="17"/>
  <c r="M12" i="17"/>
  <c r="N12" i="17" s="1"/>
  <c r="Z255" i="17" s="1"/>
  <c r="Y288" i="17" s="1"/>
  <c r="AY11" i="17"/>
  <c r="AZ11" i="17" s="1"/>
  <c r="BL11" i="17" s="1"/>
  <c r="P11" i="17"/>
  <c r="M11" i="17"/>
  <c r="N11" i="17" s="1"/>
  <c r="Z254" i="17" s="1"/>
  <c r="Y287" i="17" s="1"/>
  <c r="Z257" i="17" l="1"/>
  <c r="Y290" i="17" s="1"/>
</calcChain>
</file>

<file path=xl/sharedStrings.xml><?xml version="1.0" encoding="utf-8"?>
<sst xmlns="http://schemas.openxmlformats.org/spreadsheetml/2006/main" count="1361" uniqueCount="789">
  <si>
    <t>№</t>
  </si>
  <si>
    <t>D</t>
  </si>
  <si>
    <t>F</t>
  </si>
  <si>
    <t>B</t>
  </si>
  <si>
    <t>T</t>
  </si>
  <si>
    <t>Off</t>
  </si>
  <si>
    <t>On</t>
  </si>
  <si>
    <t>A</t>
  </si>
  <si>
    <t>L</t>
  </si>
  <si>
    <t>.</t>
  </si>
  <si>
    <t>c</t>
  </si>
  <si>
    <t>Гц</t>
  </si>
  <si>
    <t>C</t>
  </si>
  <si>
    <t>Имитация  .</t>
  </si>
  <si>
    <t>P</t>
  </si>
  <si>
    <t>Tag Type</t>
  </si>
  <si>
    <t xml:space="preserve"> Tag Name</t>
  </si>
  <si>
    <t xml:space="preserve"> Tag Description</t>
  </si>
  <si>
    <t xml:space="preserve"> Read Only</t>
  </si>
  <si>
    <t xml:space="preserve"> Data Source</t>
  </si>
  <si>
    <t xml:space="preserve"> Security Code</t>
  </si>
  <si>
    <t xml:space="preserve"> Alarmed</t>
  </si>
  <si>
    <t xml:space="preserve"> Data Logged</t>
  </si>
  <si>
    <t xml:space="preserve"> Native Type</t>
  </si>
  <si>
    <t xml:space="preserve"> Value Type</t>
  </si>
  <si>
    <t xml:space="preserve"> Min Analog</t>
  </si>
  <si>
    <t xml:space="preserve"> Max Analog</t>
  </si>
  <si>
    <t xml:space="preserve"> Initial Analog</t>
  </si>
  <si>
    <t xml:space="preserve"> Scale</t>
  </si>
  <si>
    <t xml:space="preserve"> Offset</t>
  </si>
  <si>
    <t xml:space="preserve"> DeadBand</t>
  </si>
  <si>
    <t xml:space="preserve"> Units</t>
  </si>
  <si>
    <t xml:space="preserve"> Off Label Digital</t>
  </si>
  <si>
    <t xml:space="preserve"> On Label Digital</t>
  </si>
  <si>
    <t xml:space="preserve"> Initial Digital</t>
  </si>
  <si>
    <t xml:space="preserve"> Length String</t>
  </si>
  <si>
    <t xml:space="preserve"> Initial String</t>
  </si>
  <si>
    <t xml:space="preserve"> Node Name</t>
  </si>
  <si>
    <t xml:space="preserve"> Scan Class</t>
  </si>
  <si>
    <t xml:space="preserve">  System Source Name</t>
  </si>
  <si>
    <t xml:space="preserve"> System Source Index</t>
  </si>
  <si>
    <t xml:space="preserve"> RIO Address</t>
  </si>
  <si>
    <t xml:space="preserve"> Number Elements Block</t>
  </si>
  <si>
    <t xml:space="preserve"> Initial Block</t>
  </si>
  <si>
    <t>Element Size Block</t>
  </si>
  <si>
    <t>входит в состав массива</t>
  </si>
  <si>
    <t>место в массиве</t>
  </si>
  <si>
    <t>PAR_ar[]</t>
  </si>
  <si>
    <t>AI_BLK_DIZ  ar[]</t>
  </si>
  <si>
    <t>AI_PAR_BLK_ar[]</t>
  </si>
  <si>
    <t>AI_BLK_Max_Set_ar[]</t>
  </si>
  <si>
    <t>AI_BLK_Min_Set_ar[]</t>
  </si>
  <si>
    <t>AI_BLK_MODE_SET_ar[]</t>
  </si>
  <si>
    <t>AI_BLK_TIME_SET_ar[]</t>
  </si>
  <si>
    <t>Par_H_ar[]</t>
  </si>
  <si>
    <t>Par_HH_ar[]</t>
  </si>
  <si>
    <t>PaRimit_ar[]</t>
  </si>
  <si>
    <t>Par_L_ar[]</t>
  </si>
  <si>
    <t>Par_LL_ar[]</t>
  </si>
  <si>
    <t>Par_sh_ar[]</t>
  </si>
  <si>
    <t>Par_sL_ar[]</t>
  </si>
  <si>
    <t>Адреса на которые ссылаются тэги</t>
  </si>
  <si>
    <t>корзина , модуль, канал</t>
  </si>
  <si>
    <t xml:space="preserve"> переменная  Входная в UNITY</t>
  </si>
  <si>
    <t>%IW0.4.7</t>
  </si>
  <si>
    <t>SH322_1</t>
  </si>
  <si>
    <t>%IW2.3.13</t>
  </si>
  <si>
    <t>P1384</t>
  </si>
  <si>
    <t>%MW1346</t>
  </si>
  <si>
    <t>%MW3946</t>
  </si>
  <si>
    <t>%MW4546</t>
  </si>
  <si>
    <t>%MW5146</t>
  </si>
  <si>
    <t>%MW5746</t>
  </si>
  <si>
    <t>%MW6346</t>
  </si>
  <si>
    <t>%MW8346</t>
  </si>
  <si>
    <t>%MF1346</t>
  </si>
  <si>
    <t>%M4150</t>
  </si>
  <si>
    <t>%MF15346</t>
  </si>
  <si>
    <t>%MF15946</t>
  </si>
  <si>
    <t>%M2373</t>
  </si>
  <si>
    <t>%MF3946</t>
  </si>
  <si>
    <t>%MF8346</t>
  </si>
  <si>
    <t>%M873</t>
  </si>
  <si>
    <t>%MF4546</t>
  </si>
  <si>
    <t>%MF5146</t>
  </si>
  <si>
    <t>%MF5746</t>
  </si>
  <si>
    <t>%MF6346</t>
  </si>
  <si>
    <t>%MF20346</t>
  </si>
  <si>
    <t>%MF20946</t>
  </si>
  <si>
    <t>%MW15346</t>
  </si>
  <si>
    <t>%MW15946</t>
  </si>
  <si>
    <t>%MW20346</t>
  </si>
  <si>
    <t>%MW20946</t>
  </si>
  <si>
    <t>Необьявленный Массив[0..299] начинается  с -  %MW20000  оканчивается на -  %MW20598</t>
  </si>
  <si>
    <t>Необьявленный Массив[0..299] начинается  с -  %MW20600  оканчивается на -  %MW21198</t>
  </si>
  <si>
    <t>начало массива</t>
  </si>
  <si>
    <t>конец  массива</t>
  </si>
  <si>
    <t>расчетный адресс</t>
  </si>
  <si>
    <t>%M4173</t>
  </si>
  <si>
    <t>%M4673</t>
  </si>
  <si>
    <t>%MW7173</t>
  </si>
  <si>
    <t>%MW7673</t>
  </si>
  <si>
    <t>%M</t>
  </si>
  <si>
    <t>%MF</t>
  </si>
  <si>
    <t>%MW</t>
  </si>
  <si>
    <t>i</t>
  </si>
  <si>
    <t>_Par_BLK</t>
  </si>
  <si>
    <t>_h</t>
  </si>
  <si>
    <t>_hh</t>
  </si>
  <si>
    <t>_L</t>
  </si>
  <si>
    <t>_LL</t>
  </si>
  <si>
    <t>_sh</t>
  </si>
  <si>
    <t>_sL</t>
  </si>
  <si>
    <t>_BDiz</t>
  </si>
  <si>
    <t>_Blk</t>
  </si>
  <si>
    <t>_BMax</t>
  </si>
  <si>
    <t>_BMin</t>
  </si>
  <si>
    <t>_BMode</t>
  </si>
  <si>
    <t>_BTime</t>
  </si>
  <si>
    <t>_H</t>
  </si>
  <si>
    <t>_HH</t>
  </si>
  <si>
    <t>_imit</t>
  </si>
  <si>
    <t>_SH</t>
  </si>
  <si>
    <t>_SL</t>
  </si>
  <si>
    <t>_WH</t>
  </si>
  <si>
    <t>_WL</t>
  </si>
  <si>
    <t>_err</t>
  </si>
  <si>
    <t>Ввод порядкового № в массиве  ParAIerr_ar[] =</t>
  </si>
  <si>
    <t>Ввод  абривиатурного имени контроллера =</t>
  </si>
  <si>
    <t>PLC1</t>
  </si>
  <si>
    <t>Ввод  абривиатурного имени установки =</t>
  </si>
  <si>
    <t>AT1</t>
  </si>
  <si>
    <t>Авторасчет для создания Аналоговой позиции  в PLC  RSU</t>
  </si>
  <si>
    <t>\</t>
  </si>
  <si>
    <t>_</t>
  </si>
  <si>
    <t>N</t>
  </si>
  <si>
    <t>Ввод описания позиции =</t>
  </si>
  <si>
    <t>Новая операционная (явная) переменная в UNITY</t>
  </si>
  <si>
    <t xml:space="preserve">        </t>
  </si>
  <si>
    <t>8-мь пробелов</t>
  </si>
  <si>
    <t>2-ва пробела</t>
  </si>
  <si>
    <t xml:space="preserve">  </t>
  </si>
  <si>
    <t xml:space="preserve">Отключение блокировки по </t>
  </si>
  <si>
    <t xml:space="preserve">Срабатывание Блокировки по </t>
  </si>
  <si>
    <t xml:space="preserve">Порог срабатывания блокировки по MAX  </t>
  </si>
  <si>
    <t xml:space="preserve">Порог срабатывания блокировки по MIN  </t>
  </si>
  <si>
    <t>Режим блокировки (0-нет 1-min 2-max 3-max&amp;min).</t>
  </si>
  <si>
    <t>Верхняя предаварийная граница  H.</t>
  </si>
  <si>
    <t>Верхняя аварийная граница HH.</t>
  </si>
  <si>
    <t>Нижхняя предаварийная граница L.</t>
  </si>
  <si>
    <t>Нижняя аварийная граница LL.</t>
  </si>
  <si>
    <t>верх шкалы.</t>
  </si>
  <si>
    <t>низ шкалы.</t>
  </si>
  <si>
    <t>Верхняя граница норм. технол. Реж. (НТР).</t>
  </si>
  <si>
    <t>Нижняя граница норм. технол. Реж. (НТР).</t>
  </si>
  <si>
    <t xml:space="preserve">Время задержки срабатывания блокировки </t>
  </si>
  <si>
    <t>Ввод  размерности шкалы =</t>
  </si>
  <si>
    <t>Ввод  верха шкалы =</t>
  </si>
  <si>
    <t>Ввод  низа шкалы =</t>
  </si>
  <si>
    <t>,</t>
  </si>
  <si>
    <t>ParAIerr_ar[]</t>
  </si>
  <si>
    <t>Отказ канала измерения</t>
  </si>
  <si>
    <t>проверочный  173</t>
  </si>
  <si>
    <t xml:space="preserve"> %IW0.3.2</t>
  </si>
  <si>
    <t xml:space="preserve"> %IW0.3.3</t>
  </si>
  <si>
    <t xml:space="preserve"> %IW0.3.4</t>
  </si>
  <si>
    <t>Ввод  аббревиатурного имени Аналоговой позиции =</t>
  </si>
  <si>
    <t>установка</t>
  </si>
  <si>
    <t>контроллер РСУ</t>
  </si>
  <si>
    <t>Клапан на регулировании давления верха К301; положение клапана.</t>
  </si>
  <si>
    <t>Клапан на регулировании расхода холодного орошения; положение клапана.</t>
  </si>
  <si>
    <t>Клапан на регулировании уровня в сепараторе С301; положение клапана.</t>
  </si>
  <si>
    <t>Клапан на регулировании уровня раздела сред в сепараторе С301; положение клапана.</t>
  </si>
  <si>
    <t>Выходная частота частотного преобразователя насоса Н321</t>
  </si>
  <si>
    <t>Выходная частота частотного преобразователя насоса Н321Р</t>
  </si>
  <si>
    <t>Выходная частота частотного преобразователя вентилятора ХВ301/1.</t>
  </si>
  <si>
    <t>Выходная частота частотного преобразователя вентилятора ХВ301/2.</t>
  </si>
  <si>
    <t>Давление нагнетания насоса Н328</t>
  </si>
  <si>
    <t>Давление нагнетания насоса Н330/1</t>
  </si>
  <si>
    <t>Давление нагнетания насоса Н330/2</t>
  </si>
  <si>
    <t>Давление нагнетания насоса Н329/1</t>
  </si>
  <si>
    <t>Давление нагнетания насоса Н329/2</t>
  </si>
  <si>
    <t>Температура подтоварной воды после Х/В321</t>
  </si>
  <si>
    <t>Выходная частота частотного преобразователя насоса Н323.</t>
  </si>
  <si>
    <t>Выходная частота частотного преобразователя насоса Н323Р.</t>
  </si>
  <si>
    <t>Температура отбора дизельной фракции из К321.</t>
  </si>
  <si>
    <t>Температура верха К321</t>
  </si>
  <si>
    <t>Температура стенки герметизирующей перегородки магнитной муфты Н323</t>
  </si>
  <si>
    <t>Температура стенки герметизирующей перегородки магнитной муфты Н323Р</t>
  </si>
  <si>
    <t>Давление верха К321</t>
  </si>
  <si>
    <t>Температура бензиновой фракции после ХВ301/1; поз.324а.</t>
  </si>
  <si>
    <t>Температура бензиновой фракции после ХВ301/2; поз.325а.</t>
  </si>
  <si>
    <t>Давление нагнетания Н323.</t>
  </si>
  <si>
    <t>Давление нагнетания Н323Р.</t>
  </si>
  <si>
    <t>Расход промежуточного орошения в К321 на 19 тарелку.</t>
  </si>
  <si>
    <t>Расход орошения верха К321.</t>
  </si>
  <si>
    <t>Расход промежуточного орошения в К321 на 16 тарелку.</t>
  </si>
  <si>
    <t>Расход перегретого пара в К321 (УР3-11)</t>
  </si>
  <si>
    <t>Уровень в К321</t>
  </si>
  <si>
    <t>Клапан на регулировании давление верха К321; положение клапана.</t>
  </si>
  <si>
    <t>Клапан на регулировании расхода промежуточного орошения в К321 на 19 тарелку; положение клапана.</t>
  </si>
  <si>
    <t>Клапан на регулировании расхода орошения верха К321; положение клапана.</t>
  </si>
  <si>
    <t>Клапан на регулировании расхода промежуточного орошения в К321 на 16 тарелку; положение клапана.</t>
  </si>
  <si>
    <t>Клапан на регулировании расхода перегретого пара в К321 (УР3-10); положение клапана.</t>
  </si>
  <si>
    <t>Температура стенки герметизирующей перегородки магнитной муфты Н321</t>
  </si>
  <si>
    <t>Температура стенки герметизирующей перегородки магнитной муфты Н321Р</t>
  </si>
  <si>
    <t>Температура бензиновой фракции в С301</t>
  </si>
  <si>
    <t>Температура тяжелой бензиновой фракции из КХ321 в С321</t>
  </si>
  <si>
    <t>Температура дизельной фракции после ХВ322 в К321</t>
  </si>
  <si>
    <t>Температура дизельной фракции после ХВ322 на склад.</t>
  </si>
  <si>
    <t>Температура затемненного продукта после ХВ302/2;3 на склад.</t>
  </si>
  <si>
    <t>Температура некондиции на входе в ХВ302/1;4 на склад.</t>
  </si>
  <si>
    <t>Температура стенки герметизирующей перегородки магнитной муфты Н322</t>
  </si>
  <si>
    <t>Температура стенки герметизирующей перегородки магнитной муфты Н322Р</t>
  </si>
  <si>
    <t>Температура стенки герметизирующей перегородки магнитной муфты Н325</t>
  </si>
  <si>
    <t>Температура стенки герметизирующей перегородки магнитной муфты Н325Р</t>
  </si>
  <si>
    <t>Давление сепаратора С321</t>
  </si>
  <si>
    <t>Давление нагнетания Н326</t>
  </si>
  <si>
    <t>Давление нагнетания Н322</t>
  </si>
  <si>
    <t>Давление нагнетания Н322Р</t>
  </si>
  <si>
    <t>Давление нагнетания Н325</t>
  </si>
  <si>
    <t>Давление нагнетания Н325Р</t>
  </si>
  <si>
    <t>Расход подтоварной воды из С321 в Е204 (УР3-17)</t>
  </si>
  <si>
    <t>Расход тяжелой бензиновой фракции на склад (УР3-12); поз.371.</t>
  </si>
  <si>
    <t>Расход затемненного продукта на склад (УР3-16); поз.372.</t>
  </si>
  <si>
    <t>Расход дизельной фракции на склад (УР3-14)</t>
  </si>
  <si>
    <t xml:space="preserve">Уровень в C321 </t>
  </si>
  <si>
    <t xml:space="preserve">Уровень раздела фаз в C321 </t>
  </si>
  <si>
    <t>Клапан регулировки расход дизельной фракции на склад; положение клапана.</t>
  </si>
  <si>
    <t>Клапан регулировки уровня в С321; положение клапана.</t>
  </si>
  <si>
    <t>Клапан регулировки уровня раздела фаз в С321; положение клапана.</t>
  </si>
  <si>
    <t>Выходная частота частотного преобразователя насоса Н325.</t>
  </si>
  <si>
    <t>Выходная частота частотного преобразователя насоса Н325Р.</t>
  </si>
  <si>
    <t>Выходная частота частотного преобразователя насоса Н326.</t>
  </si>
  <si>
    <t>Выходная частота частотного преобразователя холодильника КХ321.</t>
  </si>
  <si>
    <t>Выходная частота частотного преобразователя холодильника ХВ322.</t>
  </si>
  <si>
    <t>Давление нагнетания насоса Н221</t>
  </si>
  <si>
    <t>Давление нагнетания насоса Н221P</t>
  </si>
  <si>
    <t>Давление нагнетания насоса Н327</t>
  </si>
  <si>
    <t>Давление в общем трубопроводе нагнетания от насосов Н221; Н221Р.</t>
  </si>
  <si>
    <t>Расход сырья от ЭД321 (УР3-1)</t>
  </si>
  <si>
    <t>Температура в стакане Н221</t>
  </si>
  <si>
    <t>Температура в стакане Н221Р</t>
  </si>
  <si>
    <t>Расход пара на установку АТ1 (УР3-25)</t>
  </si>
  <si>
    <t>Уровень в Е201; поз.243.</t>
  </si>
  <si>
    <t>Уровень в Е204; поз.247.</t>
  </si>
  <si>
    <t>Уровень раздела сред сырье/вода в ЭД321.</t>
  </si>
  <si>
    <t>Клапан на регулировании расхода сырья от ЭД321. (УР3-2); положение клапана.</t>
  </si>
  <si>
    <t>Клапан на регулировании уровня раздела сред в ЭД321; положение клапана.</t>
  </si>
  <si>
    <t>Выходная частота частотного преобразователя насоса Н221.</t>
  </si>
  <si>
    <t>Выходная частота частотного преобразователя насоса Н221Р.</t>
  </si>
  <si>
    <t>Выходная частота частотного преобразователя холодильника Х/В321.</t>
  </si>
  <si>
    <t>Уровень в секции ингибитора в E321</t>
  </si>
  <si>
    <t>Уровень в секции деэмульгатора в E321</t>
  </si>
  <si>
    <t>Уровень в секции нейтрализатора в E321</t>
  </si>
  <si>
    <t>Выходная частота частотного преобразователя насоса Н328.</t>
  </si>
  <si>
    <t>Выходная частота частотного преобразователя насоса Н329/1.</t>
  </si>
  <si>
    <t>Выходная частота частотного преобразователя насоса Н329/2.</t>
  </si>
  <si>
    <t>Выходная частота частотного преобразователя насоса Н330/1.</t>
  </si>
  <si>
    <t>Выходная частота частотного преобразователя насоса Н330/2.</t>
  </si>
  <si>
    <t>Температура отбензиненого сырья после Т305/2; поз.311.</t>
  </si>
  <si>
    <t>Температура мазута после Т305/2.</t>
  </si>
  <si>
    <t>Температура сырья после Т305/1.</t>
  </si>
  <si>
    <t>Температура мазута после Т305/1; поз.319.</t>
  </si>
  <si>
    <t>Температура бензина после Т303/1; поз.318.</t>
  </si>
  <si>
    <t>Температура стенки герметизирующей перегородки магнитной муфты Н324</t>
  </si>
  <si>
    <t>Температура стенки герметизирующей перегородки магнитной муфты Н324Р</t>
  </si>
  <si>
    <t>Давление нагнетания Н324</t>
  </si>
  <si>
    <t>Давление нагнетания Н324Р</t>
  </si>
  <si>
    <t>Расход мазута на склад; поз.376.</t>
  </si>
  <si>
    <t>Расход бензиновой фракции на склад; поз.370.</t>
  </si>
  <si>
    <t>Температура бензина на склад.</t>
  </si>
  <si>
    <t>Клапан на регулировании температуры бензина после Т303/1; положение клапана.</t>
  </si>
  <si>
    <t>Клапан на регулировании расхода мазута на склад; положение клапана. (УР3-23)</t>
  </si>
  <si>
    <t>Выходная частота частотного преобразователя насоса Н324.</t>
  </si>
  <si>
    <t>Выходная частота частотного преобразователя насоса Н324Р.</t>
  </si>
  <si>
    <t>Уровень в E203</t>
  </si>
  <si>
    <t>Давление верха К301 ; поз.364.</t>
  </si>
  <si>
    <t>Температура верха К301; поз.333а.</t>
  </si>
  <si>
    <t>Давление после клапана сброса паров из сепаратора С302.</t>
  </si>
  <si>
    <t>Давление нагнетания Н321</t>
  </si>
  <si>
    <t>Давление нагнетания Н321Р</t>
  </si>
  <si>
    <t>Давление нагнетания Н302</t>
  </si>
  <si>
    <t>Давление нагнетания Н302Р</t>
  </si>
  <si>
    <t>Расход легкой бензиновой фракции на склад (УР3-20) ; поз.373.</t>
  </si>
  <si>
    <t>Уровень К301 ; поз.388; 389.</t>
  </si>
  <si>
    <t>Уровень в сепараторе С301; поз.391; 392.</t>
  </si>
  <si>
    <t>Уровень раздела сред в сепараторе С301; поз.382.</t>
  </si>
  <si>
    <t>Выходная частота частотного преобразователя холодильника ХВ302/1;4.</t>
  </si>
  <si>
    <t>Выходная частота частотного преобразователя холодильника ХВ302/2;3.</t>
  </si>
  <si>
    <t>Температура парожидкостной смеси после П301 (регулирование)</t>
  </si>
  <si>
    <t>Температура газообразного топлива в П301</t>
  </si>
  <si>
    <t>Температура отходящих дымовых газов на выходе из П301</t>
  </si>
  <si>
    <t>Температура парожидкостной смеси после П301 (блокировка)</t>
  </si>
  <si>
    <t>Температура отбензиненной нефти на входе в П301</t>
  </si>
  <si>
    <t>Температура парожидкостной смеси на выходе змеевика 1</t>
  </si>
  <si>
    <t>Температура парожидкостной смеси на выходе змеевика 2</t>
  </si>
  <si>
    <t>Температура дымовых газов на перевале печи</t>
  </si>
  <si>
    <t>Разрежение в топке П301</t>
  </si>
  <si>
    <t>Давление нефти на входе в П301</t>
  </si>
  <si>
    <t>Давление УВГ к рабочей горелке П301</t>
  </si>
  <si>
    <t>Разрежение на выходе из топки П301</t>
  </si>
  <si>
    <t>Давление парожидкостной смеси после П301</t>
  </si>
  <si>
    <t>Давление пара к рабочей горелке П301</t>
  </si>
  <si>
    <t>Давление воздуха на горелку П301</t>
  </si>
  <si>
    <t>Расход жидкого топлива к П301; П501</t>
  </si>
  <si>
    <t>Расход жидкого топлива от П301; П501</t>
  </si>
  <si>
    <t>Расход воздуха к П301</t>
  </si>
  <si>
    <t>Расход УГВ к П301</t>
  </si>
  <si>
    <t>Расход отбензиненной нефти на змеевик 1</t>
  </si>
  <si>
    <t>Расход отбензиненной нефти на змеевик 2</t>
  </si>
  <si>
    <t>Выходная частота частотного преобразователя насоса Н302.</t>
  </si>
  <si>
    <t>Выходная частота частотного преобразователя насоса Н302P.</t>
  </si>
  <si>
    <t>Содержание О2 в отходящих дымовых газах П301</t>
  </si>
  <si>
    <t>Положение регул. клапана</t>
  </si>
  <si>
    <t>Выходная частота частотного преобразователя вентилятора В301</t>
  </si>
  <si>
    <t>Выходная мощность горелки</t>
  </si>
  <si>
    <t>Частота привода вентилятора горелки</t>
  </si>
  <si>
    <t>Выходная частота частотного преобразователя насоса Н322.</t>
  </si>
  <si>
    <t>Выходная частота частотного преобразователя насоса Н322P.</t>
  </si>
  <si>
    <t>Температура жидкого топлива к печам</t>
  </si>
  <si>
    <t>Давление в общем трубопроводе после Н311; Н311Р</t>
  </si>
  <si>
    <t>Уровень в Е304</t>
  </si>
  <si>
    <t>описание параметра</t>
  </si>
  <si>
    <t>задействован</t>
  </si>
  <si>
    <t>свободен</t>
  </si>
  <si>
    <t>Номер  канала</t>
  </si>
  <si>
    <t>°К</t>
  </si>
  <si>
    <t>Градусы Келвина</t>
  </si>
  <si>
    <t>°C</t>
  </si>
  <si>
    <t>Градусы Цельсия</t>
  </si>
  <si>
    <t>°F</t>
  </si>
  <si>
    <t>Градусы по Фаренгейту</t>
  </si>
  <si>
    <t>м</t>
  </si>
  <si>
    <t>Метр</t>
  </si>
  <si>
    <t>см</t>
  </si>
  <si>
    <t>Сантиметр</t>
  </si>
  <si>
    <t>мм</t>
  </si>
  <si>
    <t>Миллиметр</t>
  </si>
  <si>
    <t>л</t>
  </si>
  <si>
    <t>Литр</t>
  </si>
  <si>
    <t>м³</t>
  </si>
  <si>
    <t>Кубический метр</t>
  </si>
  <si>
    <t>Герц</t>
  </si>
  <si>
    <t>кГц</t>
  </si>
  <si>
    <t>Килогерц</t>
  </si>
  <si>
    <t>г</t>
  </si>
  <si>
    <t>Грамм</t>
  </si>
  <si>
    <t>кг</t>
  </si>
  <si>
    <t>Килограмм</t>
  </si>
  <si>
    <t>т</t>
  </si>
  <si>
    <t>Метрическая тонна</t>
  </si>
  <si>
    <t>Pa</t>
  </si>
  <si>
    <t>Паскаль</t>
  </si>
  <si>
    <t>кPa</t>
  </si>
  <si>
    <t>Килопаскаль</t>
  </si>
  <si>
    <t>MPa</t>
  </si>
  <si>
    <t>Мегапаскаль</t>
  </si>
  <si>
    <t>кг/cм2</t>
  </si>
  <si>
    <t>Килограммы за квадратный сантиметр</t>
  </si>
  <si>
    <r>
      <t>кгс/см</t>
    </r>
    <r>
      <rPr>
        <vertAlign val="superscript"/>
        <sz val="11"/>
        <color indexed="8"/>
        <rFont val="Arial"/>
        <family val="2"/>
        <charset val="204"/>
      </rPr>
      <t>2</t>
    </r>
  </si>
  <si>
    <t>1 Килограмм-сила на квадратный сантиметр</t>
  </si>
  <si>
    <t>бар</t>
  </si>
  <si>
    <t>Бар</t>
  </si>
  <si>
    <t>мбар</t>
  </si>
  <si>
    <t>Милибар</t>
  </si>
  <si>
    <t>ммH2O</t>
  </si>
  <si>
    <t>Миллиметры водяного столба</t>
  </si>
  <si>
    <t>м3/ч</t>
  </si>
  <si>
    <t>Кубические метры в час</t>
  </si>
  <si>
    <t>л/ч</t>
  </si>
  <si>
    <t>Литры в час</t>
  </si>
  <si>
    <t>kg/h</t>
  </si>
  <si>
    <t>Килограммы в час</t>
  </si>
  <si>
    <t>% веса</t>
  </si>
  <si>
    <t>Процент веса</t>
  </si>
  <si>
    <t>%об</t>
  </si>
  <si>
    <t>Процент объема</t>
  </si>
  <si>
    <t>кг/м3</t>
  </si>
  <si>
    <t>Плотность в единицах СИ</t>
  </si>
  <si>
    <t>г/см3</t>
  </si>
  <si>
    <t>Плотность в единицах СГС</t>
  </si>
  <si>
    <t>Т/ч</t>
  </si>
  <si>
    <t>Тонны  в час</t>
  </si>
  <si>
    <t>%</t>
  </si>
  <si>
    <t>Проценты</t>
  </si>
  <si>
    <t>присвоить каналу  статус:</t>
  </si>
  <si>
    <t>позиция</t>
  </si>
  <si>
    <t>GPV1238i</t>
  </si>
  <si>
    <t>GFV1253i</t>
  </si>
  <si>
    <t>GLV1269i</t>
  </si>
  <si>
    <t>GLV1271i</t>
  </si>
  <si>
    <t>SH321i</t>
  </si>
  <si>
    <t>SH321Pi</t>
  </si>
  <si>
    <t>SXB301_1i</t>
  </si>
  <si>
    <t>SXB301_2i</t>
  </si>
  <si>
    <t>P1012i</t>
  </si>
  <si>
    <t>P1013i</t>
  </si>
  <si>
    <t>P1014i</t>
  </si>
  <si>
    <t>P1015i</t>
  </si>
  <si>
    <t>P1016i</t>
  </si>
  <si>
    <t>T1038i</t>
  </si>
  <si>
    <t>SH323i</t>
  </si>
  <si>
    <t>SH323Pi</t>
  </si>
  <si>
    <t>T1286i</t>
  </si>
  <si>
    <t>T1287i</t>
  </si>
  <si>
    <t>T1288i</t>
  </si>
  <si>
    <t>T1289i</t>
  </si>
  <si>
    <t>P1300i</t>
  </si>
  <si>
    <t>T1210i</t>
  </si>
  <si>
    <t>T1211i</t>
  </si>
  <si>
    <t>0i</t>
  </si>
  <si>
    <t>P1303i</t>
  </si>
  <si>
    <t>P1304i</t>
  </si>
  <si>
    <t>F1310i</t>
  </si>
  <si>
    <t>F1311i</t>
  </si>
  <si>
    <t>F1312i</t>
  </si>
  <si>
    <t>F1313i</t>
  </si>
  <si>
    <t>L1320i</t>
  </si>
  <si>
    <t>L1321i</t>
  </si>
  <si>
    <t>GPV1300i</t>
  </si>
  <si>
    <t>GFV1310i</t>
  </si>
  <si>
    <t>GFV1311i</t>
  </si>
  <si>
    <t>GFV1312i</t>
  </si>
  <si>
    <t>GFV1313i</t>
  </si>
  <si>
    <t>T1212i</t>
  </si>
  <si>
    <t>T1213i</t>
  </si>
  <si>
    <t>T1216i</t>
  </si>
  <si>
    <t>T1351i</t>
  </si>
  <si>
    <t>T1353i</t>
  </si>
  <si>
    <t>T1354i</t>
  </si>
  <si>
    <t>T1355i</t>
  </si>
  <si>
    <t>T1356i</t>
  </si>
  <si>
    <t>T1357i</t>
  </si>
  <si>
    <t>T1359i</t>
  </si>
  <si>
    <t>T1360i</t>
  </si>
  <si>
    <t>T1361i</t>
  </si>
  <si>
    <t>T1362i</t>
  </si>
  <si>
    <t>P1378i</t>
  </si>
  <si>
    <t>P1379i</t>
  </si>
  <si>
    <t>P1380i</t>
  </si>
  <si>
    <t>P1381i</t>
  </si>
  <si>
    <t>P1382i</t>
  </si>
  <si>
    <t>P1383i</t>
  </si>
  <si>
    <t>F1392i</t>
  </si>
  <si>
    <t>F1393i</t>
  </si>
  <si>
    <t>F1394i</t>
  </si>
  <si>
    <t>F1395i</t>
  </si>
  <si>
    <t>L1399i</t>
  </si>
  <si>
    <t>L1400i</t>
  </si>
  <si>
    <t>L1401i</t>
  </si>
  <si>
    <t>L1402i</t>
  </si>
  <si>
    <t>GFV1395i</t>
  </si>
  <si>
    <t>GLV1399i</t>
  </si>
  <si>
    <t>GLV1400i</t>
  </si>
  <si>
    <t>SH325i</t>
  </si>
  <si>
    <t>SH325Pi</t>
  </si>
  <si>
    <t>SH326i</t>
  </si>
  <si>
    <t>SKX321i</t>
  </si>
  <si>
    <t>SXB322i</t>
  </si>
  <si>
    <t>P1067i</t>
  </si>
  <si>
    <t>P1068i</t>
  </si>
  <si>
    <t>P1069i</t>
  </si>
  <si>
    <t>P1070i</t>
  </si>
  <si>
    <t>F1080i</t>
  </si>
  <si>
    <t>T1039i</t>
  </si>
  <si>
    <t>T1040i</t>
  </si>
  <si>
    <t>F1081i</t>
  </si>
  <si>
    <t>L1087i</t>
  </si>
  <si>
    <t>L1093i</t>
  </si>
  <si>
    <t>L11i</t>
  </si>
  <si>
    <t>GFV1080i</t>
  </si>
  <si>
    <t>GLV11i</t>
  </si>
  <si>
    <t>SH221i</t>
  </si>
  <si>
    <t>SH221Pi</t>
  </si>
  <si>
    <t>SXB321i</t>
  </si>
  <si>
    <t>L1020i</t>
  </si>
  <si>
    <t>L1021i</t>
  </si>
  <si>
    <t>L1022i</t>
  </si>
  <si>
    <t>SH328i</t>
  </si>
  <si>
    <t>SH329_1i</t>
  </si>
  <si>
    <t>SH329_2i</t>
  </si>
  <si>
    <t>SH330_1i</t>
  </si>
  <si>
    <t>SH330_2i</t>
  </si>
  <si>
    <t>T1111i</t>
  </si>
  <si>
    <t>T1112i</t>
  </si>
  <si>
    <t>T1113i</t>
  </si>
  <si>
    <t>T1114i</t>
  </si>
  <si>
    <t>T1116i</t>
  </si>
  <si>
    <t>T1134i</t>
  </si>
  <si>
    <t>T1135i</t>
  </si>
  <si>
    <t>P1174i</t>
  </si>
  <si>
    <t>P1175i</t>
  </si>
  <si>
    <t>F1182i</t>
  </si>
  <si>
    <t>F1183i</t>
  </si>
  <si>
    <t>T1183i</t>
  </si>
  <si>
    <t>GTV1116i</t>
  </si>
  <si>
    <t>GFV1182i</t>
  </si>
  <si>
    <t>SH324i</t>
  </si>
  <si>
    <t>SH324Pi</t>
  </si>
  <si>
    <t>L248i</t>
  </si>
  <si>
    <t>P1238i</t>
  </si>
  <si>
    <t>T1209i</t>
  </si>
  <si>
    <t>P1240i</t>
  </si>
  <si>
    <t>P1241i</t>
  </si>
  <si>
    <t>P1242i</t>
  </si>
  <si>
    <t>P1243i</t>
  </si>
  <si>
    <t>P1244i</t>
  </si>
  <si>
    <t>F1253i</t>
  </si>
  <si>
    <t>L1267i</t>
  </si>
  <si>
    <t>L1268i</t>
  </si>
  <si>
    <t>L1269i</t>
  </si>
  <si>
    <t>L1270i</t>
  </si>
  <si>
    <t>L1271i</t>
  </si>
  <si>
    <t>SXB302_1i</t>
  </si>
  <si>
    <t>SXB302_2i</t>
  </si>
  <si>
    <t>T425i</t>
  </si>
  <si>
    <t>T426i</t>
  </si>
  <si>
    <t>T427i</t>
  </si>
  <si>
    <t>T428i</t>
  </si>
  <si>
    <t>T429i</t>
  </si>
  <si>
    <t>T425_1i</t>
  </si>
  <si>
    <t>T425_2i</t>
  </si>
  <si>
    <t>T450i</t>
  </si>
  <si>
    <t>P434i</t>
  </si>
  <si>
    <t>P435i</t>
  </si>
  <si>
    <t>P438i</t>
  </si>
  <si>
    <t>P439i</t>
  </si>
  <si>
    <t>P440i</t>
  </si>
  <si>
    <t>P445i</t>
  </si>
  <si>
    <t>P448i</t>
  </si>
  <si>
    <t>F441i</t>
  </si>
  <si>
    <t>F741i</t>
  </si>
  <si>
    <t>F442i</t>
  </si>
  <si>
    <t>F443i</t>
  </si>
  <si>
    <t>F456_1i</t>
  </si>
  <si>
    <t>F456_2i</t>
  </si>
  <si>
    <t>SH302i</t>
  </si>
  <si>
    <t>SH302Pi</t>
  </si>
  <si>
    <t>Q446i</t>
  </si>
  <si>
    <t>GFV456_1i</t>
  </si>
  <si>
    <t>GFV456_2i</t>
  </si>
  <si>
    <t>SB301i</t>
  </si>
  <si>
    <t>GW301i</t>
  </si>
  <si>
    <t>SG301i</t>
  </si>
  <si>
    <t>SH322i</t>
  </si>
  <si>
    <t>SH322Pi</t>
  </si>
  <si>
    <t>T405i</t>
  </si>
  <si>
    <t>P419i</t>
  </si>
  <si>
    <t>L420i</t>
  </si>
  <si>
    <t>GPV419i</t>
  </si>
  <si>
    <t>GLV420i</t>
  </si>
  <si>
    <t>проверочный адрес</t>
  </si>
  <si>
    <t>расчетный адрес</t>
  </si>
  <si>
    <t>№ В Паспорте парм.</t>
  </si>
  <si>
    <t>Присвоить  имя:</t>
  </si>
  <si>
    <t>Ячейка памяти:</t>
  </si>
  <si>
    <t>Ввод обозначения технологич. Оборуд.=</t>
  </si>
  <si>
    <t>Выходная частота частотного преобразователя  Н322/1</t>
  </si>
  <si>
    <t>Давление нагнетания          Н322/1</t>
  </si>
  <si>
    <t>Rezerv_143</t>
  </si>
  <si>
    <t xml:space="preserve">Резервный канал_143  </t>
  </si>
  <si>
    <t>дата/время последнего присвоения статуса</t>
  </si>
  <si>
    <t>статус  текущий</t>
  </si>
  <si>
    <t>2016 01 14__08-11-04</t>
  </si>
  <si>
    <t>int</t>
  </si>
  <si>
    <t>Входная переменная, Аналогового входного модуля</t>
  </si>
  <si>
    <t>табулятор (x279)</t>
  </si>
  <si>
    <t>_Bdiz</t>
  </si>
  <si>
    <t xml:space="preserve">для Unity в (excel) </t>
  </si>
  <si>
    <t>ebool</t>
  </si>
  <si>
    <t xml:space="preserve">	</t>
  </si>
  <si>
    <t>%IW2.3.14</t>
  </si>
  <si>
    <t>%IW2.4.8</t>
  </si>
  <si>
    <t>%IW0.3.0</t>
  </si>
  <si>
    <t>%IW0.3.1</t>
  </si>
  <si>
    <t>%IW0.3.5</t>
  </si>
  <si>
    <t>%IW0.3.6</t>
  </si>
  <si>
    <t>%IW0.3.7</t>
  </si>
  <si>
    <t>%IW0.3.8</t>
  </si>
  <si>
    <t>%IW0.3.9</t>
  </si>
  <si>
    <t>%IW0.3.10</t>
  </si>
  <si>
    <t>%IW0.3.11</t>
  </si>
  <si>
    <t>%IW0.3.12</t>
  </si>
  <si>
    <t>%IW0.3.13</t>
  </si>
  <si>
    <t>%IW0.3.14</t>
  </si>
  <si>
    <t>%IW0.3.15</t>
  </si>
  <si>
    <t>%IW0.4.0</t>
  </si>
  <si>
    <t>%IW0.4.1</t>
  </si>
  <si>
    <t>%IW0.4.2</t>
  </si>
  <si>
    <t>%IW0.4.3</t>
  </si>
  <si>
    <t>%IW0.4.4</t>
  </si>
  <si>
    <t>%IW0.4.5</t>
  </si>
  <si>
    <t>%IW0.4.6</t>
  </si>
  <si>
    <t>%IW0.4.8</t>
  </si>
  <si>
    <t>%IW0.4.9</t>
  </si>
  <si>
    <t>%IW0.4.10</t>
  </si>
  <si>
    <t>%IW0.4.11</t>
  </si>
  <si>
    <t>%IW0.4.12</t>
  </si>
  <si>
    <t>%IW0.4.13</t>
  </si>
  <si>
    <t>%IW0.4.14</t>
  </si>
  <si>
    <t>%IW0.4.15</t>
  </si>
  <si>
    <t>%IW0.5.0</t>
  </si>
  <si>
    <t>%IW0.5.1</t>
  </si>
  <si>
    <t>%IW0.5.2</t>
  </si>
  <si>
    <t>%IW0.5.3</t>
  </si>
  <si>
    <t>%IW0.5.4</t>
  </si>
  <si>
    <t>%IW0.5.5</t>
  </si>
  <si>
    <t>%IW0.5.6</t>
  </si>
  <si>
    <t>%IW0.5.7</t>
  </si>
  <si>
    <t>%IW0.5.8</t>
  </si>
  <si>
    <t>%IW0.5.9</t>
  </si>
  <si>
    <t>%IW0.5.10</t>
  </si>
  <si>
    <t>%IW0.5.11</t>
  </si>
  <si>
    <t>%IW0.5.12</t>
  </si>
  <si>
    <t>%IW0.5.13</t>
  </si>
  <si>
    <t>%IW0.5.14</t>
  </si>
  <si>
    <t>%IW0.5.15</t>
  </si>
  <si>
    <t>%IW0.6.0</t>
  </si>
  <si>
    <t>%IW0.6.1</t>
  </si>
  <si>
    <t>%IW0.6.2</t>
  </si>
  <si>
    <t>%IW0.6.3</t>
  </si>
  <si>
    <t>%IW0.6.4</t>
  </si>
  <si>
    <t>%IW0.6.5</t>
  </si>
  <si>
    <t>%IW0.6.6</t>
  </si>
  <si>
    <t>%IW0.6.7</t>
  </si>
  <si>
    <t>%IW0.6.8</t>
  </si>
  <si>
    <t>%IW0.6.9</t>
  </si>
  <si>
    <t>%IW0.6.10</t>
  </si>
  <si>
    <t>%IW0.6.11</t>
  </si>
  <si>
    <t>%IW0.6.12</t>
  </si>
  <si>
    <t>%IW0.6.13</t>
  </si>
  <si>
    <t>%IW0.6.14</t>
  </si>
  <si>
    <t>%IW0.6.15</t>
  </si>
  <si>
    <t>%IW0.7.0</t>
  </si>
  <si>
    <t>%IW0.7.1</t>
  </si>
  <si>
    <t>%IW0.7.2</t>
  </si>
  <si>
    <t>%IW0.7.3</t>
  </si>
  <si>
    <t>%IW0.7.4</t>
  </si>
  <si>
    <t>%IW0.7.5</t>
  </si>
  <si>
    <t>%IW0.7.6</t>
  </si>
  <si>
    <t>%IW0.7.7</t>
  </si>
  <si>
    <t>%IW0.7.8</t>
  </si>
  <si>
    <t>%IW0.7.9</t>
  </si>
  <si>
    <t>%IW0.7.10</t>
  </si>
  <si>
    <t>%IW0.7.11</t>
  </si>
  <si>
    <t>%IW0.7.12</t>
  </si>
  <si>
    <t>%IW0.7.13</t>
  </si>
  <si>
    <t>%IW0.7.14</t>
  </si>
  <si>
    <t>%IW0.7.15</t>
  </si>
  <si>
    <t>%IW0.8.0</t>
  </si>
  <si>
    <t>%IW0.8.1</t>
  </si>
  <si>
    <t>%IW0.8.2</t>
  </si>
  <si>
    <t>%IW0.8.3</t>
  </si>
  <si>
    <t>%IW0.8.4</t>
  </si>
  <si>
    <t>%IW0.8.5</t>
  </si>
  <si>
    <t>%IW0.8.6</t>
  </si>
  <si>
    <t>%IW0.8.7</t>
  </si>
  <si>
    <t>%IW0.8.8</t>
  </si>
  <si>
    <t>%IW0.8.9</t>
  </si>
  <si>
    <t>%IW0.8.10</t>
  </si>
  <si>
    <t>%IW0.8.11</t>
  </si>
  <si>
    <t>%IW0.8.12</t>
  </si>
  <si>
    <t>%IW0.8.13</t>
  </si>
  <si>
    <t>%IW0.8.14</t>
  </si>
  <si>
    <t>%IW0.8.15</t>
  </si>
  <si>
    <t>%IW0.9.0</t>
  </si>
  <si>
    <t>%IW0.9.1</t>
  </si>
  <si>
    <t>%IW0.9.2</t>
  </si>
  <si>
    <t>%IW0.9.3</t>
  </si>
  <si>
    <t>%IW0.9.4</t>
  </si>
  <si>
    <t>%IW0.9.5</t>
  </si>
  <si>
    <t>%IW0.9.6</t>
  </si>
  <si>
    <t>%IW0.9.7</t>
  </si>
  <si>
    <t>%IW0.9.8</t>
  </si>
  <si>
    <t>%IW0.9.9</t>
  </si>
  <si>
    <t>%IW0.9.10</t>
  </si>
  <si>
    <t>%IW0.9.11</t>
  </si>
  <si>
    <t>%IW0.9.12</t>
  </si>
  <si>
    <t>%IW0.9.13</t>
  </si>
  <si>
    <t>%IW0.9.14</t>
  </si>
  <si>
    <t>%IW0.9.15</t>
  </si>
  <si>
    <t>%IW0.10.0</t>
  </si>
  <si>
    <t>%IW0.10.1</t>
  </si>
  <si>
    <t>%IW0.10.2</t>
  </si>
  <si>
    <t>%IW0.10.3</t>
  </si>
  <si>
    <t>%IW0.10.4</t>
  </si>
  <si>
    <t>%IW0.10.5</t>
  </si>
  <si>
    <t>%IW0.10.6</t>
  </si>
  <si>
    <t>%IW0.10.7</t>
  </si>
  <si>
    <t>%IW0.10.8</t>
  </si>
  <si>
    <t>%IW0.10.9</t>
  </si>
  <si>
    <t>%IW0.10.10</t>
  </si>
  <si>
    <t>%IW0.10.11</t>
  </si>
  <si>
    <t>%IW0.10.12</t>
  </si>
  <si>
    <t>%IW0.10.13</t>
  </si>
  <si>
    <t>%IW0.10.14</t>
  </si>
  <si>
    <t>%IW0.10.15</t>
  </si>
  <si>
    <t>%IW2.1.0</t>
  </si>
  <si>
    <t>%IW2.1.1</t>
  </si>
  <si>
    <t>%IW2.1.2</t>
  </si>
  <si>
    <t>%IW2.1.3</t>
  </si>
  <si>
    <t>%IW2.1.4</t>
  </si>
  <si>
    <t>%IW2.1.5</t>
  </si>
  <si>
    <t>%IW2.1.6</t>
  </si>
  <si>
    <t>%IW2.1.7</t>
  </si>
  <si>
    <t>%IW2.1.8</t>
  </si>
  <si>
    <t>%IW2.1.9</t>
  </si>
  <si>
    <t>%IW2.1.10</t>
  </si>
  <si>
    <t>%IW2.1.11</t>
  </si>
  <si>
    <t>%IW2.1.12</t>
  </si>
  <si>
    <t>%IW2.1.13</t>
  </si>
  <si>
    <t>%IW2.1.14</t>
  </si>
  <si>
    <t>%IW2.1.15</t>
  </si>
  <si>
    <t>%IW2.2.0</t>
  </si>
  <si>
    <t>%IW2.2.1</t>
  </si>
  <si>
    <t>%IW2.2.2</t>
  </si>
  <si>
    <t>%IW2.2.3</t>
  </si>
  <si>
    <t>%IW2.2.4</t>
  </si>
  <si>
    <t>%IW2.2.5</t>
  </si>
  <si>
    <t>%IW2.2.6</t>
  </si>
  <si>
    <t>%IW2.2.7</t>
  </si>
  <si>
    <t>%IW2.2.8</t>
  </si>
  <si>
    <t>%IW2.2.9</t>
  </si>
  <si>
    <t>%IW2.2.10</t>
  </si>
  <si>
    <t>%IW2.2.11</t>
  </si>
  <si>
    <t>%IW2.2.12</t>
  </si>
  <si>
    <t>%IW2.2.13</t>
  </si>
  <si>
    <t>%IW2.2.14</t>
  </si>
  <si>
    <t>%IW2.2.15</t>
  </si>
  <si>
    <t>%IW2.3.0</t>
  </si>
  <si>
    <t>%IW2.3.1</t>
  </si>
  <si>
    <t>%IW2.3.2</t>
  </si>
  <si>
    <t>%IW2.3.3</t>
  </si>
  <si>
    <t>%IW2.3.4</t>
  </si>
  <si>
    <t>%IW2.3.5</t>
  </si>
  <si>
    <t>%IW2.3.6</t>
  </si>
  <si>
    <t>%IW2.3.7</t>
  </si>
  <si>
    <t>%IW2.3.8</t>
  </si>
  <si>
    <t>%IW2.3.9</t>
  </si>
  <si>
    <t>%IW2.3.10</t>
  </si>
  <si>
    <t>%IW2.3.11</t>
  </si>
  <si>
    <t>%IW2.3.12</t>
  </si>
  <si>
    <t>%IW2.3.15</t>
  </si>
  <si>
    <t>%IW2.4.0</t>
  </si>
  <si>
    <t>%IW2.4.1</t>
  </si>
  <si>
    <t>%IW2.4.2</t>
  </si>
  <si>
    <t>%IW2.4.3</t>
  </si>
  <si>
    <t>%IW2.4.4</t>
  </si>
  <si>
    <t>%IW2.4.5</t>
  </si>
  <si>
    <t>%IW2.4.6</t>
  </si>
  <si>
    <t>%IW2.4.7</t>
  </si>
  <si>
    <t>%IW2.4.9</t>
  </si>
  <si>
    <t>%IW2.4.10</t>
  </si>
  <si>
    <t>%IW2.4.11</t>
  </si>
  <si>
    <t>%IW2.4.12</t>
  </si>
  <si>
    <t>%IW2.4.13</t>
  </si>
  <si>
    <t>%IW2.4.14</t>
  </si>
  <si>
    <t>%IW2.4.15</t>
  </si>
  <si>
    <t>№:</t>
  </si>
  <si>
    <t>___0</t>
  </si>
  <si>
    <t>___1</t>
  </si>
  <si>
    <t>___2</t>
  </si>
  <si>
    <t>___3</t>
  </si>
  <si>
    <t>___4</t>
  </si>
  <si>
    <t>___5</t>
  </si>
  <si>
    <t>___6</t>
  </si>
  <si>
    <t>___7</t>
  </si>
  <si>
    <t>___8</t>
  </si>
  <si>
    <t>___9</t>
  </si>
  <si>
    <t>__10</t>
  </si>
  <si>
    <t>__11</t>
  </si>
  <si>
    <t>__12</t>
  </si>
  <si>
    <t>__13</t>
  </si>
  <si>
    <t>__14</t>
  </si>
  <si>
    <t>__15</t>
  </si>
  <si>
    <t>__16</t>
  </si>
  <si>
    <t>__17</t>
  </si>
  <si>
    <t xml:space="preserve">      </t>
  </si>
  <si>
    <t>Итоговая сцепка для последующего импорта в Скаду "RSVIEW32"</t>
  </si>
  <si>
    <t>для импорта в контроллер , СЦЕПКИ для Unity в (TXT) с разделителем в виде табулятора:</t>
  </si>
  <si>
    <t>0</t>
  </si>
  <si>
    <t>2016 07 10__22-46-21</t>
  </si>
  <si>
    <t>AAA777</t>
  </si>
  <si>
    <t>Пробная позиция</t>
  </si>
  <si>
    <t>Н000</t>
  </si>
  <si>
    <t>100</t>
  </si>
  <si>
    <t>2016 07 13__11-46-59</t>
  </si>
  <si>
    <t>Пробная позиция  Н000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</si>
</sst>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8"/>
      <color rgb="FFC0000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20"/>
      <color rgb="FFC0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sz val="8"/>
      <name val="Arial Cyr"/>
      <charset val="204"/>
    </font>
    <font>
      <sz val="11"/>
      <color rgb="FF00000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vertAlign val="superscript"/>
      <sz val="11"/>
      <color indexed="8"/>
      <name val="Arial"/>
      <family val="2"/>
      <charset val="204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0" borderId="14" xfId="0" applyBorder="1"/>
    <xf numFmtId="0" fontId="0" fillId="4" borderId="4" xfId="0" applyFill="1" applyBorder="1"/>
    <xf numFmtId="0" fontId="0" fillId="3" borderId="4" xfId="0" applyFill="1" applyBorder="1"/>
    <xf numFmtId="0" fontId="1" fillId="4" borderId="4" xfId="0" applyFont="1" applyFill="1" applyBorder="1"/>
    <xf numFmtId="0" fontId="0" fillId="0" borderId="0" xfId="0" applyAlignment="1">
      <alignment horizontal="left"/>
    </xf>
    <xf numFmtId="0" fontId="1" fillId="4" borderId="3" xfId="0" applyFont="1" applyFill="1" applyBorder="1"/>
    <xf numFmtId="0" fontId="0" fillId="4" borderId="3" xfId="0" applyFill="1" applyBorder="1"/>
    <xf numFmtId="0" fontId="1" fillId="0" borderId="0" xfId="0" applyFont="1"/>
    <xf numFmtId="0" fontId="1" fillId="4" borderId="14" xfId="0" applyFont="1" applyFill="1" applyBorder="1"/>
    <xf numFmtId="0" fontId="0" fillId="4" borderId="14" xfId="0" applyFill="1" applyBorder="1"/>
    <xf numFmtId="0" fontId="1" fillId="4" borderId="3" xfId="0" applyFont="1" applyFill="1" applyBorder="1" applyAlignment="1">
      <alignment horizontal="center" vertical="center"/>
    </xf>
    <xf numFmtId="0" fontId="2" fillId="0" borderId="3" xfId="0" applyFont="1" applyBorder="1"/>
    <xf numFmtId="0" fontId="0" fillId="4" borderId="3" xfId="0" applyFill="1" applyBorder="1" applyAlignment="1">
      <alignment wrapText="1"/>
    </xf>
    <xf numFmtId="0" fontId="1" fillId="4" borderId="4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5" borderId="0" xfId="0" applyFill="1" applyBorder="1"/>
    <xf numFmtId="0" fontId="1" fillId="4" borderId="6" xfId="0" applyFont="1" applyFill="1" applyBorder="1"/>
    <xf numFmtId="0" fontId="0" fillId="3" borderId="3" xfId="0" applyFill="1" applyBorder="1"/>
    <xf numFmtId="0" fontId="1" fillId="4" borderId="1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1" fillId="7" borderId="23" xfId="0" applyFont="1" applyFill="1" applyBorder="1"/>
    <xf numFmtId="0" fontId="0" fillId="9" borderId="0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3" xfId="0" applyFill="1" applyBorder="1" applyAlignment="1">
      <alignment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vertical="center"/>
    </xf>
    <xf numFmtId="0" fontId="4" fillId="3" borderId="3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0" fontId="4" fillId="7" borderId="17" xfId="0" applyFont="1" applyFill="1" applyBorder="1" applyAlignment="1">
      <alignment horizontal="left"/>
    </xf>
    <xf numFmtId="0" fontId="4" fillId="7" borderId="18" xfId="0" applyFont="1" applyFill="1" applyBorder="1" applyAlignment="1">
      <alignment horizontal="left"/>
    </xf>
    <xf numFmtId="0" fontId="4" fillId="7" borderId="17" xfId="0" applyFont="1" applyFill="1" applyBorder="1" applyAlignment="1">
      <alignment horizontal="left" vertical="center"/>
    </xf>
    <xf numFmtId="0" fontId="4" fillId="7" borderId="20" xfId="0" applyFont="1" applyFill="1" applyBorder="1" applyAlignment="1">
      <alignment horizontal="left" vertical="center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" fillId="7" borderId="0" xfId="0" applyFont="1" applyFill="1" applyBorder="1" applyAlignment="1">
      <alignment horizontal="center" vertical="center"/>
    </xf>
    <xf numFmtId="0" fontId="4" fillId="7" borderId="27" xfId="0" applyFont="1" applyFill="1" applyBorder="1" applyAlignment="1">
      <alignment horizontal="left"/>
    </xf>
    <xf numFmtId="0" fontId="0" fillId="4" borderId="19" xfId="0" applyFill="1" applyBorder="1" applyAlignment="1">
      <alignment horizontal="right"/>
    </xf>
    <xf numFmtId="0" fontId="0" fillId="8" borderId="19" xfId="0" applyFill="1" applyBorder="1" applyAlignment="1">
      <alignment horizontal="right" vertical="center" wrapText="1"/>
    </xf>
    <xf numFmtId="0" fontId="0" fillId="8" borderId="20" xfId="0" applyFill="1" applyBorder="1" applyAlignment="1">
      <alignment horizontal="right" vertical="center" wrapText="1"/>
    </xf>
    <xf numFmtId="0" fontId="2" fillId="4" borderId="4" xfId="0" applyFont="1" applyFill="1" applyBorder="1"/>
    <xf numFmtId="0" fontId="2" fillId="4" borderId="3" xfId="0" applyFont="1" applyFill="1" applyBorder="1"/>
    <xf numFmtId="0" fontId="2" fillId="4" borderId="3" xfId="0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4" fillId="4" borderId="26" xfId="0" applyFont="1" applyFill="1" applyBorder="1" applyAlignment="1">
      <alignment horizontal="left"/>
    </xf>
    <xf numFmtId="0" fontId="4" fillId="4" borderId="21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 wrapText="1"/>
    </xf>
    <xf numFmtId="0" fontId="0" fillId="9" borderId="27" xfId="0" applyFill="1" applyBorder="1"/>
    <xf numFmtId="0" fontId="0" fillId="9" borderId="28" xfId="0" applyFill="1" applyBorder="1"/>
    <xf numFmtId="0" fontId="1" fillId="4" borderId="6" xfId="0" applyFont="1" applyFill="1" applyBorder="1" applyAlignment="1">
      <alignment vertical="center"/>
    </xf>
    <xf numFmtId="0" fontId="8" fillId="9" borderId="28" xfId="0" applyFont="1" applyFill="1" applyBorder="1" applyAlignment="1">
      <alignment vertical="center"/>
    </xf>
    <xf numFmtId="0" fontId="0" fillId="9" borderId="31" xfId="0" applyFill="1" applyBorder="1" applyAlignment="1">
      <alignment horizontal="left"/>
    </xf>
    <xf numFmtId="0" fontId="4" fillId="7" borderId="15" xfId="0" applyFont="1" applyFill="1" applyBorder="1" applyAlignment="1">
      <alignment horizontal="left"/>
    </xf>
    <xf numFmtId="0" fontId="4" fillId="7" borderId="15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 vertical="center"/>
    </xf>
    <xf numFmtId="0" fontId="1" fillId="9" borderId="15" xfId="0" applyFont="1" applyFill="1" applyBorder="1" applyAlignment="1">
      <alignment horizontal="right" vertical="center" indent="1"/>
    </xf>
    <xf numFmtId="0" fontId="9" fillId="9" borderId="1" xfId="0" applyFont="1" applyFill="1" applyBorder="1" applyAlignment="1">
      <alignment vertical="center"/>
    </xf>
    <xf numFmtId="0" fontId="9" fillId="9" borderId="10" xfId="0" applyFont="1" applyFill="1" applyBorder="1" applyAlignment="1">
      <alignment vertical="center"/>
    </xf>
    <xf numFmtId="0" fontId="9" fillId="9" borderId="2" xfId="0" applyFont="1" applyFill="1" applyBorder="1" applyAlignment="1">
      <alignment vertical="center"/>
    </xf>
    <xf numFmtId="0" fontId="9" fillId="9" borderId="28" xfId="0" applyFont="1" applyFill="1" applyBorder="1" applyAlignment="1">
      <alignment vertical="center"/>
    </xf>
    <xf numFmtId="0" fontId="10" fillId="9" borderId="1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  <xf numFmtId="0" fontId="0" fillId="5" borderId="0" xfId="0" applyNumberForma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3" fillId="5" borderId="0" xfId="0" applyNumberFormat="1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right" vertical="center" indent="1"/>
    </xf>
    <xf numFmtId="0" fontId="10" fillId="9" borderId="31" xfId="0" applyFont="1" applyFill="1" applyBorder="1" applyAlignment="1">
      <alignment vertical="center"/>
    </xf>
    <xf numFmtId="0" fontId="0" fillId="9" borderId="2" xfId="0" applyFill="1" applyBorder="1" applyAlignment="1"/>
    <xf numFmtId="0" fontId="0" fillId="9" borderId="28" xfId="0" applyFill="1" applyBorder="1" applyAlignment="1"/>
    <xf numFmtId="0" fontId="0" fillId="9" borderId="1" xfId="0" applyFill="1" applyBorder="1"/>
    <xf numFmtId="0" fontId="0" fillId="9" borderId="9" xfId="0" applyFill="1" applyBorder="1"/>
    <xf numFmtId="0" fontId="0" fillId="9" borderId="10" xfId="0" applyFill="1" applyBorder="1"/>
    <xf numFmtId="0" fontId="0" fillId="2" borderId="16" xfId="0" applyFill="1" applyBorder="1"/>
    <xf numFmtId="0" fontId="3" fillId="2" borderId="5" xfId="0" applyNumberFormat="1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7" borderId="27" xfId="0" applyFill="1" applyBorder="1" applyAlignment="1">
      <alignment horizontal="center" vertical="center" wrapText="1"/>
    </xf>
    <xf numFmtId="0" fontId="0" fillId="7" borderId="23" xfId="0" applyFill="1" applyBorder="1"/>
    <xf numFmtId="0" fontId="1" fillId="7" borderId="25" xfId="0" applyFont="1" applyFill="1" applyBorder="1"/>
    <xf numFmtId="0" fontId="0" fillId="7" borderId="18" xfId="0" applyFill="1" applyBorder="1" applyAlignment="1">
      <alignment horizontal="right"/>
    </xf>
    <xf numFmtId="0" fontId="1" fillId="4" borderId="4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/>
    </xf>
    <xf numFmtId="0" fontId="0" fillId="0" borderId="0" xfId="0" applyAlignment="1">
      <alignment horizontal="left" vertical="center" indent="1"/>
    </xf>
    <xf numFmtId="0" fontId="4" fillId="6" borderId="15" xfId="0" applyFont="1" applyFill="1" applyBorder="1" applyAlignment="1">
      <alignment horizontal="left" vertical="center" indent="1"/>
    </xf>
    <xf numFmtId="0" fontId="0" fillId="6" borderId="2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2" fillId="0" borderId="14" xfId="0" applyFont="1" applyBorder="1"/>
    <xf numFmtId="0" fontId="1" fillId="4" borderId="14" xfId="0" applyFont="1" applyFill="1" applyBorder="1" applyAlignment="1">
      <alignment vertical="center"/>
    </xf>
    <xf numFmtId="0" fontId="1" fillId="4" borderId="28" xfId="0" applyFont="1" applyFill="1" applyBorder="1" applyAlignment="1">
      <alignment vertical="center"/>
    </xf>
    <xf numFmtId="0" fontId="4" fillId="3" borderId="14" xfId="0" applyFont="1" applyFill="1" applyBorder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0" fillId="3" borderId="33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2" fillId="4" borderId="14" xfId="0" applyFont="1" applyFill="1" applyBorder="1" applyAlignment="1">
      <alignment vertical="center"/>
    </xf>
    <xf numFmtId="0" fontId="2" fillId="4" borderId="14" xfId="0" applyFont="1" applyFill="1" applyBorder="1"/>
    <xf numFmtId="0" fontId="0" fillId="4" borderId="14" xfId="0" applyFill="1" applyBorder="1" applyAlignment="1">
      <alignment vertical="center"/>
    </xf>
    <xf numFmtId="0" fontId="4" fillId="4" borderId="14" xfId="0" applyFont="1" applyFill="1" applyBorder="1" applyAlignment="1">
      <alignment horizontal="left" vertical="center"/>
    </xf>
    <xf numFmtId="0" fontId="1" fillId="6" borderId="29" xfId="0" applyFont="1" applyFill="1" applyBorder="1"/>
    <xf numFmtId="0" fontId="1" fillId="6" borderId="0" xfId="0" applyFont="1" applyFill="1" applyBorder="1"/>
    <xf numFmtId="0" fontId="2" fillId="6" borderId="3" xfId="0" applyFont="1" applyFill="1" applyBorder="1"/>
    <xf numFmtId="0" fontId="1" fillId="6" borderId="27" xfId="0" applyFont="1" applyFill="1" applyBorder="1"/>
    <xf numFmtId="0" fontId="1" fillId="6" borderId="28" xfId="0" applyFont="1" applyFill="1" applyBorder="1"/>
    <xf numFmtId="0" fontId="2" fillId="6" borderId="14" xfId="0" applyFont="1" applyFill="1" applyBorder="1"/>
    <xf numFmtId="0" fontId="0" fillId="6" borderId="0" xfId="0" applyFill="1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0" fontId="0" fillId="6" borderId="0" xfId="0" applyFill="1" applyBorder="1"/>
    <xf numFmtId="0" fontId="0" fillId="6" borderId="30" xfId="0" applyFill="1" applyBorder="1"/>
    <xf numFmtId="0" fontId="0" fillId="6" borderId="28" xfId="0" applyFill="1" applyBorder="1"/>
    <xf numFmtId="0" fontId="0" fillId="6" borderId="31" xfId="0" applyFill="1" applyBorder="1"/>
    <xf numFmtId="0" fontId="3" fillId="3" borderId="11" xfId="0" applyNumberFormat="1" applyFont="1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11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4" borderId="23" xfId="0" applyFill="1" applyBorder="1"/>
    <xf numFmtId="0" fontId="0" fillId="9" borderId="9" xfId="0" applyFill="1" applyBorder="1" applyAlignment="1">
      <alignment horizontal="left"/>
    </xf>
    <xf numFmtId="0" fontId="0" fillId="9" borderId="9" xfId="0" applyFill="1" applyBorder="1" applyAlignment="1">
      <alignment horizontal="center" vertical="center"/>
    </xf>
    <xf numFmtId="0" fontId="11" fillId="9" borderId="9" xfId="0" applyFont="1" applyFill="1" applyBorder="1"/>
    <xf numFmtId="0" fontId="0" fillId="9" borderId="0" xfId="0" applyFill="1" applyBorder="1" applyAlignment="1">
      <alignment horizontal="left"/>
    </xf>
    <xf numFmtId="0" fontId="0" fillId="9" borderId="0" xfId="0" applyFill="1" applyBorder="1" applyAlignment="1">
      <alignment horizontal="center" vertical="center"/>
    </xf>
    <xf numFmtId="0" fontId="0" fillId="9" borderId="30" xfId="0" applyFill="1" applyBorder="1"/>
    <xf numFmtId="0" fontId="0" fillId="9" borderId="2" xfId="0" applyFill="1" applyBorder="1"/>
    <xf numFmtId="0" fontId="0" fillId="9" borderId="2" xfId="0" applyFill="1" applyBorder="1" applyAlignment="1">
      <alignment horizontal="left"/>
    </xf>
    <xf numFmtId="0" fontId="0" fillId="9" borderId="2" xfId="0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7" fillId="11" borderId="15" xfId="0" applyFont="1" applyFill="1" applyBorder="1" applyAlignment="1">
      <alignment horizontal="center" vertical="center" wrapText="1"/>
    </xf>
    <xf numFmtId="0" fontId="13" fillId="11" borderId="6" xfId="0" applyFont="1" applyFill="1" applyBorder="1" applyAlignment="1">
      <alignment horizontal="center" vertical="center" wrapText="1"/>
    </xf>
    <xf numFmtId="0" fontId="13" fillId="11" borderId="7" xfId="0" applyFont="1" applyFill="1" applyBorder="1" applyAlignment="1">
      <alignment horizontal="center" vertical="center" wrapText="1"/>
    </xf>
    <xf numFmtId="0" fontId="0" fillId="12" borderId="0" xfId="0" applyFill="1"/>
    <xf numFmtId="0" fontId="0" fillId="12" borderId="3" xfId="0" applyFill="1" applyBorder="1"/>
    <xf numFmtId="0" fontId="1" fillId="0" borderId="32" xfId="0" applyFont="1" applyBorder="1" applyAlignment="1">
      <alignment horizontal="left" indent="1"/>
    </xf>
    <xf numFmtId="0" fontId="8" fillId="0" borderId="0" xfId="0" applyFont="1" applyBorder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15" fillId="7" borderId="20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vertical="center"/>
    </xf>
    <xf numFmtId="0" fontId="4" fillId="3" borderId="4" xfId="0" applyFont="1" applyFill="1" applyBorder="1" applyAlignment="1">
      <alignment horizontal="left" vertical="center"/>
    </xf>
    <xf numFmtId="0" fontId="4" fillId="4" borderId="22" xfId="0" applyFont="1" applyFill="1" applyBorder="1" applyAlignment="1">
      <alignment horizontal="left" vertical="center"/>
    </xf>
    <xf numFmtId="0" fontId="0" fillId="4" borderId="17" xfId="0" applyFill="1" applyBorder="1" applyAlignment="1">
      <alignment horizontal="right" vertical="center"/>
    </xf>
    <xf numFmtId="0" fontId="0" fillId="4" borderId="4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11" fillId="9" borderId="0" xfId="0" applyFont="1" applyFill="1" applyBorder="1"/>
    <xf numFmtId="0" fontId="0" fillId="10" borderId="29" xfId="0" applyFill="1" applyBorder="1"/>
    <xf numFmtId="0" fontId="0" fillId="5" borderId="30" xfId="0" applyFill="1" applyBorder="1"/>
    <xf numFmtId="0" fontId="0" fillId="0" borderId="0" xfId="0" applyBorder="1"/>
    <xf numFmtId="0" fontId="0" fillId="0" borderId="30" xfId="0" applyBorder="1"/>
    <xf numFmtId="0" fontId="5" fillId="10" borderId="29" xfId="0" applyFont="1" applyFill="1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0" fillId="0" borderId="30" xfId="0" applyBorder="1" applyAlignment="1">
      <alignment horizontal="left" vertical="center" indent="1"/>
    </xf>
    <xf numFmtId="0" fontId="14" fillId="10" borderId="29" xfId="0" applyFont="1" applyFill="1" applyBorder="1"/>
    <xf numFmtId="0" fontId="0" fillId="0" borderId="28" xfId="0" applyBorder="1"/>
    <xf numFmtId="0" fontId="0" fillId="0" borderId="31" xfId="0" applyBorder="1"/>
    <xf numFmtId="0" fontId="14" fillId="10" borderId="29" xfId="0" applyFont="1" applyFill="1" applyBorder="1" applyAlignment="1">
      <alignment vertical="center"/>
    </xf>
    <xf numFmtId="0" fontId="14" fillId="10" borderId="27" xfId="0" applyFont="1" applyFill="1" applyBorder="1" applyAlignment="1">
      <alignment vertical="center"/>
    </xf>
    <xf numFmtId="0" fontId="19" fillId="0" borderId="4" xfId="0" applyFont="1" applyFill="1" applyBorder="1" applyAlignment="1">
      <alignment horizontal="left" wrapText="1"/>
    </xf>
    <xf numFmtId="0" fontId="19" fillId="0" borderId="3" xfId="0" applyFont="1" applyFill="1" applyBorder="1" applyAlignment="1">
      <alignment horizontal="left" wrapText="1"/>
    </xf>
    <xf numFmtId="0" fontId="0" fillId="13" borderId="34" xfId="0" applyFont="1" applyFill="1" applyBorder="1" applyAlignment="1"/>
    <xf numFmtId="0" fontId="0" fillId="13" borderId="35" xfId="0" applyFont="1" applyFill="1" applyBorder="1" applyAlignment="1"/>
    <xf numFmtId="0" fontId="0" fillId="6" borderId="34" xfId="0" applyFont="1" applyFill="1" applyBorder="1" applyAlignment="1"/>
    <xf numFmtId="0" fontId="0" fillId="6" borderId="35" xfId="0" applyFont="1" applyFill="1" applyBorder="1" applyAlignment="1"/>
    <xf numFmtId="0" fontId="0" fillId="14" borderId="34" xfId="0" applyFont="1" applyFill="1" applyBorder="1" applyAlignment="1"/>
    <xf numFmtId="0" fontId="0" fillId="14" borderId="35" xfId="0" applyFont="1" applyFill="1" applyBorder="1" applyAlignment="1"/>
    <xf numFmtId="0" fontId="0" fillId="12" borderId="34" xfId="0" applyFont="1" applyFill="1" applyBorder="1" applyAlignment="1"/>
    <xf numFmtId="0" fontId="0" fillId="12" borderId="35" xfId="0" applyFont="1" applyFill="1" applyBorder="1" applyAlignment="1"/>
    <xf numFmtId="0" fontId="0" fillId="15" borderId="34" xfId="0" applyFont="1" applyFill="1" applyBorder="1" applyAlignment="1"/>
    <xf numFmtId="0" fontId="0" fillId="15" borderId="35" xfId="0" applyFont="1" applyFill="1" applyBorder="1" applyAlignment="1"/>
    <xf numFmtId="0" fontId="0" fillId="4" borderId="34" xfId="0" applyFont="1" applyFill="1" applyBorder="1" applyAlignment="1"/>
    <xf numFmtId="0" fontId="0" fillId="4" borderId="35" xfId="0" applyFont="1" applyFill="1" applyBorder="1" applyAlignment="1"/>
    <xf numFmtId="0" fontId="21" fillId="4" borderId="34" xfId="0" applyFont="1" applyFill="1" applyBorder="1"/>
    <xf numFmtId="0" fontId="20" fillId="4" borderId="35" xfId="0" applyFont="1" applyFill="1" applyBorder="1"/>
    <xf numFmtId="0" fontId="0" fillId="10" borderId="34" xfId="0" applyFont="1" applyFill="1" applyBorder="1" applyAlignment="1"/>
    <xf numFmtId="0" fontId="0" fillId="10" borderId="35" xfId="0" applyFont="1" applyFill="1" applyBorder="1" applyAlignment="1"/>
    <xf numFmtId="0" fontId="0" fillId="16" borderId="34" xfId="0" applyFont="1" applyFill="1" applyBorder="1" applyAlignment="1"/>
    <xf numFmtId="0" fontId="0" fillId="16" borderId="35" xfId="0" applyFont="1" applyFill="1" applyBorder="1" applyAlignment="1"/>
    <xf numFmtId="0" fontId="4" fillId="6" borderId="2" xfId="0" applyFont="1" applyFill="1" applyBorder="1" applyAlignment="1">
      <alignment horizontal="left" vertical="center" indent="1"/>
    </xf>
    <xf numFmtId="0" fontId="15" fillId="7" borderId="0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left"/>
    </xf>
    <xf numFmtId="0" fontId="16" fillId="7" borderId="16" xfId="0" applyFont="1" applyFill="1" applyBorder="1" applyAlignment="1">
      <alignment horizontal="left" vertical="center"/>
    </xf>
    <xf numFmtId="0" fontId="1" fillId="7" borderId="16" xfId="0" applyFont="1" applyFill="1" applyBorder="1"/>
    <xf numFmtId="0" fontId="19" fillId="0" borderId="0" xfId="0" applyFont="1" applyFill="1" applyBorder="1" applyAlignment="1">
      <alignment horizontal="left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1" fillId="6" borderId="3" xfId="0" applyFont="1" applyFill="1" applyBorder="1" applyAlignment="1">
      <alignment horizontal="center"/>
    </xf>
    <xf numFmtId="0" fontId="1" fillId="6" borderId="3" xfId="0" applyFont="1" applyFill="1" applyBorder="1"/>
    <xf numFmtId="0" fontId="0" fillId="6" borderId="2" xfId="0" applyFill="1" applyBorder="1" applyAlignment="1">
      <alignment horizontal="left" vertical="center"/>
    </xf>
    <xf numFmtId="0" fontId="0" fillId="0" borderId="21" xfId="0" applyBorder="1"/>
    <xf numFmtId="0" fontId="1" fillId="0" borderId="3" xfId="0" applyFont="1" applyBorder="1"/>
    <xf numFmtId="0" fontId="1" fillId="0" borderId="3" xfId="0" applyFont="1" applyBorder="1" applyAlignment="1">
      <alignment vertical="top" wrapText="1"/>
    </xf>
    <xf numFmtId="0" fontId="1" fillId="0" borderId="3" xfId="0" applyFont="1" applyBorder="1" applyAlignment="1">
      <alignment horizontal="right" indent="1"/>
    </xf>
    <xf numFmtId="0" fontId="0" fillId="7" borderId="28" xfId="0" applyFill="1" applyBorder="1" applyAlignment="1">
      <alignment horizontal="left" vertical="center" wrapText="1"/>
    </xf>
    <xf numFmtId="0" fontId="1" fillId="17" borderId="3" xfId="0" applyFont="1" applyFill="1" applyBorder="1"/>
    <xf numFmtId="0" fontId="1" fillId="17" borderId="14" xfId="0" applyFont="1" applyFill="1" applyBorder="1"/>
    <xf numFmtId="0" fontId="8" fillId="0" borderId="10" xfId="0" applyFont="1" applyBorder="1" applyAlignment="1">
      <alignment horizontal="left"/>
    </xf>
    <xf numFmtId="0" fontId="8" fillId="0" borderId="30" xfId="0" applyFont="1" applyBorder="1" applyAlignment="1">
      <alignment horizontal="left"/>
    </xf>
    <xf numFmtId="0" fontId="8" fillId="0" borderId="31" xfId="0" applyFont="1" applyBorder="1" applyAlignment="1">
      <alignment horizontal="left"/>
    </xf>
    <xf numFmtId="0" fontId="0" fillId="0" borderId="21" xfId="0" applyFont="1" applyBorder="1"/>
    <xf numFmtId="0" fontId="1" fillId="0" borderId="3" xfId="0" applyFont="1" applyBorder="1" applyAlignment="1">
      <alignment horizontal="right"/>
    </xf>
    <xf numFmtId="49" fontId="0" fillId="0" borderId="3" xfId="0" applyNumberFormat="1" applyBorder="1" applyAlignment="1">
      <alignment horizontal="right" indent="1"/>
    </xf>
    <xf numFmtId="0" fontId="0" fillId="2" borderId="5" xfId="0" applyFill="1" applyBorder="1" applyAlignment="1">
      <alignment horizontal="center" wrapText="1"/>
    </xf>
    <xf numFmtId="0" fontId="2" fillId="0" borderId="3" xfId="0" applyFont="1" applyBorder="1" applyAlignment="1">
      <alignment vertical="top" wrapText="1"/>
    </xf>
    <xf numFmtId="0" fontId="8" fillId="10" borderId="15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4" fillId="9" borderId="8" xfId="0" applyFont="1" applyFill="1" applyBorder="1" applyAlignment="1">
      <alignment vertical="center" wrapText="1"/>
    </xf>
    <xf numFmtId="0" fontId="4" fillId="9" borderId="9" xfId="0" applyFont="1" applyFill="1" applyBorder="1" applyAlignment="1">
      <alignment vertical="center" wrapText="1"/>
    </xf>
    <xf numFmtId="0" fontId="4" fillId="9" borderId="10" xfId="0" applyFont="1" applyFill="1" applyBorder="1" applyAlignment="1">
      <alignment vertical="center" wrapText="1"/>
    </xf>
    <xf numFmtId="0" fontId="4" fillId="9" borderId="29" xfId="0" applyFont="1" applyFill="1" applyBorder="1" applyAlignment="1">
      <alignment vertical="center" wrapText="1"/>
    </xf>
    <xf numFmtId="0" fontId="4" fillId="9" borderId="0" xfId="0" applyFont="1" applyFill="1" applyBorder="1" applyAlignment="1">
      <alignment vertical="center" wrapText="1"/>
    </xf>
    <xf numFmtId="0" fontId="4" fillId="9" borderId="30" xfId="0" applyFont="1" applyFill="1" applyBorder="1" applyAlignment="1">
      <alignment vertical="center" wrapText="1"/>
    </xf>
    <xf numFmtId="0" fontId="4" fillId="9" borderId="27" xfId="0" applyFont="1" applyFill="1" applyBorder="1" applyAlignment="1">
      <alignment vertical="center" wrapText="1"/>
    </xf>
    <xf numFmtId="0" fontId="4" fillId="9" borderId="28" xfId="0" applyFont="1" applyFill="1" applyBorder="1" applyAlignment="1">
      <alignment vertical="center" wrapText="1"/>
    </xf>
    <xf numFmtId="0" fontId="4" fillId="9" borderId="31" xfId="0" applyFont="1" applyFill="1" applyBorder="1" applyAlignment="1">
      <alignment vertical="center" wrapText="1"/>
    </xf>
    <xf numFmtId="0" fontId="1" fillId="9" borderId="15" xfId="0" applyFont="1" applyFill="1" applyBorder="1" applyAlignment="1">
      <alignment horizontal="right" vertical="center"/>
    </xf>
    <xf numFmtId="0" fontId="1" fillId="9" borderId="2" xfId="0" applyFont="1" applyFill="1" applyBorder="1" applyAlignment="1">
      <alignment horizontal="right" vertical="center"/>
    </xf>
    <xf numFmtId="0" fontId="0" fillId="0" borderId="2" xfId="0" applyBorder="1" applyAlignment="1"/>
    <xf numFmtId="0" fontId="1" fillId="9" borderId="8" xfId="0" applyFont="1" applyFill="1" applyBorder="1" applyAlignment="1">
      <alignment horizontal="right" vertical="center"/>
    </xf>
    <xf numFmtId="0" fontId="1" fillId="9" borderId="9" xfId="0" applyFont="1" applyFill="1" applyBorder="1" applyAlignment="1">
      <alignment horizontal="right" vertical="center"/>
    </xf>
    <xf numFmtId="0" fontId="0" fillId="0" borderId="9" xfId="0" applyBorder="1" applyAlignment="1"/>
    <xf numFmtId="0" fontId="1" fillId="9" borderId="27" xfId="0" applyFont="1" applyFill="1" applyBorder="1" applyAlignment="1">
      <alignment horizontal="right" vertical="center"/>
    </xf>
    <xf numFmtId="0" fontId="0" fillId="0" borderId="28" xfId="0" applyBorder="1" applyAlignment="1"/>
    <xf numFmtId="0" fontId="6" fillId="9" borderId="27" xfId="0" applyFont="1" applyFill="1" applyBorder="1" applyAlignment="1">
      <alignment horizontal="right" vertical="center"/>
    </xf>
    <xf numFmtId="0" fontId="6" fillId="9" borderId="28" xfId="0" applyFont="1" applyFill="1" applyBorder="1" applyAlignment="1">
      <alignment horizontal="right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47625</xdr:rowOff>
        </xdr:from>
        <xdr:to>
          <xdr:col>0</xdr:col>
          <xdr:colOff>381000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</xdr:row>
          <xdr:rowOff>9525</xdr:rowOff>
        </xdr:from>
        <xdr:to>
          <xdr:col>1</xdr:col>
          <xdr:colOff>1685925</xdr:colOff>
          <xdr:row>1</xdr:row>
          <xdr:rowOff>581025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</a:rPr>
                <a:t>Вызов формы</a:t>
              </a: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1</xdr:row>
          <xdr:rowOff>76200</xdr:rowOff>
        </xdr:from>
        <xdr:to>
          <xdr:col>24</xdr:col>
          <xdr:colOff>1800225</xdr:colOff>
          <xdr:row>1</xdr:row>
          <xdr:rowOff>647700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</a:rPr>
                <a:t>Вызов формы</a:t>
              </a: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7030A0"/>
  </sheetPr>
  <dimension ref="A1:CE304"/>
  <sheetViews>
    <sheetView tabSelected="1" view="pageBreakPreview" zoomScale="75" zoomScaleNormal="75" zoomScaleSheetLayoutView="75" workbookViewId="0">
      <pane ySplit="2" topLeftCell="A3" activePane="bottomLeft" state="frozen"/>
      <selection pane="bottomLeft" activeCell="C15" sqref="C15"/>
    </sheetView>
  </sheetViews>
  <sheetFormatPr defaultRowHeight="15" outlineLevelRow="1" outlineLevelCol="2" x14ac:dyDescent="0.25"/>
  <cols>
    <col min="1" max="1" width="7" customWidth="1" outlineLevel="1"/>
    <col min="2" max="2" width="26.140625" customWidth="1" outlineLevel="1"/>
    <col min="3" max="3" width="13" customWidth="1" outlineLevel="1"/>
    <col min="4" max="4" width="13.140625" customWidth="1" outlineLevel="2"/>
    <col min="5" max="5" width="14.5703125" customWidth="1" outlineLevel="1"/>
    <col min="6" max="6" width="10.7109375" customWidth="1" outlineLevel="2"/>
    <col min="7" max="7" width="26.42578125" customWidth="1" outlineLevel="1"/>
    <col min="8" max="8" width="8.5703125" customWidth="1" outlineLevel="2"/>
    <col min="9" max="9" width="4.5703125" customWidth="1" outlineLevel="2"/>
    <col min="10" max="10" width="13.7109375" customWidth="1" outlineLevel="1"/>
    <col min="11" max="11" width="13.5703125" customWidth="1" outlineLevel="2"/>
    <col min="12" max="12" width="7.28515625" customWidth="1" outlineLevel="2"/>
    <col min="13" max="13" width="12.28515625" customWidth="1" outlineLevel="2"/>
    <col min="14" max="14" width="18.42578125" customWidth="1" outlineLevel="1"/>
    <col min="15" max="15" width="31.5703125" customWidth="1" outlineLevel="1"/>
    <col min="16" max="16" width="34.140625" style="12" customWidth="1" outlineLevel="1"/>
    <col min="17" max="17" width="7.7109375" customWidth="1" outlineLevel="2"/>
    <col min="18" max="18" width="13" customWidth="1" outlineLevel="2"/>
    <col min="19" max="19" width="5.5703125" style="1" customWidth="1" outlineLevel="1"/>
    <col min="20" max="20" width="5.5703125" style="1" customWidth="1" outlineLevel="2"/>
    <col min="21" max="21" width="9.85546875" style="1" customWidth="1" outlineLevel="2"/>
    <col min="22" max="22" width="23" customWidth="1" outlineLevel="1"/>
    <col min="23" max="23" width="45.140625" customWidth="1" outlineLevel="2"/>
    <col min="24" max="24" width="40.85546875" customWidth="1" outlineLevel="2"/>
    <col min="25" max="25" width="38.85546875" customWidth="1" outlineLevel="2"/>
    <col min="26" max="26" width="14.28515625" customWidth="1" outlineLevel="1"/>
    <col min="27" max="27" width="6.140625" customWidth="1" outlineLevel="1"/>
    <col min="28" max="28" width="47.140625" customWidth="1" outlineLevel="1"/>
    <col min="29" max="29" width="6" customWidth="1" outlineLevel="1"/>
    <col min="30" max="30" width="5.28515625" customWidth="1" outlineLevel="1"/>
    <col min="31" max="31" width="5.5703125" customWidth="1" outlineLevel="1"/>
    <col min="32" max="32" width="5" customWidth="1" outlineLevel="1"/>
    <col min="33" max="33" width="4.7109375" customWidth="1" outlineLevel="1"/>
    <col min="34" max="34" width="5" customWidth="1" outlineLevel="1"/>
    <col min="35" max="35" width="6" customWidth="1" outlineLevel="1"/>
    <col min="36" max="37" width="4.5703125" customWidth="1" outlineLevel="1"/>
    <col min="38" max="38" width="4" customWidth="1" outlineLevel="1"/>
    <col min="39" max="39" width="4.85546875" customWidth="1" outlineLevel="1"/>
    <col min="40" max="40" width="4.7109375" customWidth="1" outlineLevel="1"/>
    <col min="41" max="42" width="6.42578125" customWidth="1" outlineLevel="1"/>
    <col min="43" max="43" width="5.5703125" customWidth="1" outlineLevel="1"/>
    <col min="44" max="44" width="5.85546875" customWidth="1" outlineLevel="1"/>
    <col min="45" max="45" width="5.5703125" customWidth="1" outlineLevel="1"/>
    <col min="46" max="47" width="5.5703125" customWidth="1" outlineLevel="2"/>
    <col min="48" max="48" width="13.28515625" customWidth="1" outlineLevel="1"/>
    <col min="49" max="49" width="13.28515625" customWidth="1" outlineLevel="2"/>
    <col min="50" max="50" width="5.85546875" customWidth="1" outlineLevel="2"/>
    <col min="51" max="51" width="13.28515625" customWidth="1" outlineLevel="2"/>
    <col min="52" max="52" width="16.85546875" customWidth="1" outlineLevel="1"/>
    <col min="53" max="53" width="4.28515625" customWidth="1" outlineLevel="1"/>
    <col min="54" max="54" width="3.85546875" customWidth="1" outlineLevel="1"/>
    <col min="55" max="55" width="3.5703125" customWidth="1" outlineLevel="2"/>
    <col min="56" max="56" width="3.85546875" customWidth="1" outlineLevel="2"/>
    <col min="57" max="58" width="4" customWidth="1" outlineLevel="2"/>
    <col min="59" max="59" width="4.140625" customWidth="1" outlineLevel="2"/>
    <col min="60" max="60" width="3.42578125" customWidth="1" outlineLevel="2"/>
    <col min="61" max="61" width="3.5703125" customWidth="1" outlineLevel="2"/>
    <col min="62" max="62" width="3.85546875" customWidth="1" outlineLevel="2"/>
    <col min="63" max="63" width="10.42578125" customWidth="1" outlineLevel="1"/>
    <col min="64" max="64" width="167.5703125" customWidth="1" outlineLevel="1"/>
    <col min="65" max="80" width="9.140625" customWidth="1" outlineLevel="2"/>
    <col min="81" max="81" width="4.85546875" customWidth="1" outlineLevel="1"/>
    <col min="82" max="83" width="9.140625" customWidth="1" outlineLevel="1"/>
  </cols>
  <sheetData>
    <row r="1" spans="1:80" s="1" customFormat="1" ht="15.75" thickBot="1" x14ac:dyDescent="0.3">
      <c r="A1" s="74">
        <v>1</v>
      </c>
      <c r="B1" s="74">
        <v>2</v>
      </c>
      <c r="C1" s="74">
        <v>3</v>
      </c>
      <c r="D1" s="74">
        <v>4</v>
      </c>
      <c r="E1" s="74">
        <v>5</v>
      </c>
      <c r="F1" s="74">
        <v>6</v>
      </c>
      <c r="G1" s="74">
        <v>7</v>
      </c>
      <c r="H1" s="74">
        <v>8</v>
      </c>
      <c r="I1" s="74">
        <v>9</v>
      </c>
      <c r="J1" s="74">
        <v>10</v>
      </c>
      <c r="K1" s="74">
        <v>11</v>
      </c>
      <c r="L1" s="74">
        <v>12</v>
      </c>
      <c r="M1" s="74">
        <v>13</v>
      </c>
      <c r="N1" s="74">
        <v>14</v>
      </c>
      <c r="O1" s="74">
        <v>15</v>
      </c>
      <c r="P1" s="74">
        <v>16</v>
      </c>
      <c r="Q1" s="74">
        <v>17</v>
      </c>
      <c r="R1" s="74">
        <v>18</v>
      </c>
      <c r="S1" s="74">
        <v>19</v>
      </c>
      <c r="T1" s="74">
        <v>20</v>
      </c>
      <c r="U1" s="74">
        <v>21</v>
      </c>
      <c r="V1" s="74">
        <v>22</v>
      </c>
      <c r="W1" s="74">
        <v>23</v>
      </c>
      <c r="X1" s="74">
        <v>24</v>
      </c>
      <c r="Y1" s="74">
        <v>25</v>
      </c>
      <c r="Z1" s="74">
        <v>26</v>
      </c>
      <c r="AA1" s="74">
        <v>27</v>
      </c>
      <c r="AB1" s="74">
        <v>28</v>
      </c>
      <c r="AC1" s="74">
        <v>29</v>
      </c>
      <c r="AD1" s="74">
        <v>30</v>
      </c>
      <c r="AE1" s="74">
        <v>31</v>
      </c>
      <c r="AF1" s="74">
        <v>32</v>
      </c>
      <c r="AG1" s="74">
        <v>33</v>
      </c>
      <c r="AH1" s="74">
        <v>34</v>
      </c>
      <c r="AI1" s="74">
        <v>35</v>
      </c>
      <c r="AJ1" s="74">
        <v>36</v>
      </c>
      <c r="AK1" s="74">
        <v>37</v>
      </c>
      <c r="AL1" s="74">
        <v>38</v>
      </c>
      <c r="AM1" s="74">
        <v>39</v>
      </c>
      <c r="AN1" s="74">
        <v>40</v>
      </c>
      <c r="AO1" s="74">
        <v>41</v>
      </c>
      <c r="AP1" s="74">
        <v>42</v>
      </c>
      <c r="AQ1" s="74">
        <v>43</v>
      </c>
      <c r="AR1" s="74">
        <v>44</v>
      </c>
      <c r="AS1" s="74">
        <v>45</v>
      </c>
      <c r="AT1" s="74">
        <v>46</v>
      </c>
      <c r="AU1" s="74">
        <v>47</v>
      </c>
      <c r="AV1" s="74">
        <v>48</v>
      </c>
      <c r="AW1" s="74">
        <v>49</v>
      </c>
      <c r="AX1" s="74">
        <v>50</v>
      </c>
      <c r="AY1" s="74">
        <v>51</v>
      </c>
      <c r="AZ1" s="74">
        <v>52</v>
      </c>
      <c r="BA1" s="74">
        <v>53</v>
      </c>
      <c r="BB1" s="74">
        <v>54</v>
      </c>
      <c r="BC1" s="74">
        <v>55</v>
      </c>
      <c r="BD1" s="74">
        <v>56</v>
      </c>
      <c r="BE1" s="74">
        <v>57</v>
      </c>
      <c r="BF1" s="74">
        <v>58</v>
      </c>
      <c r="BG1" s="74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</row>
    <row r="2" spans="1:80" ht="60.75" thickBot="1" x14ac:dyDescent="0.3">
      <c r="A2" s="88" t="s">
        <v>0</v>
      </c>
      <c r="B2" s="216" t="s">
        <v>62</v>
      </c>
      <c r="C2" s="75"/>
      <c r="D2" s="75"/>
      <c r="E2" s="7" t="s">
        <v>63</v>
      </c>
      <c r="F2" s="75"/>
      <c r="G2" s="89" t="s">
        <v>137</v>
      </c>
      <c r="H2" s="125"/>
      <c r="I2" s="125"/>
      <c r="J2" s="6" t="s">
        <v>37</v>
      </c>
      <c r="K2" s="126" t="s">
        <v>552</v>
      </c>
      <c r="L2" s="75"/>
      <c r="M2" s="36" t="s">
        <v>553</v>
      </c>
      <c r="N2" s="57" t="s">
        <v>553</v>
      </c>
      <c r="O2" s="6" t="s">
        <v>45</v>
      </c>
      <c r="P2" s="6" t="s">
        <v>46</v>
      </c>
      <c r="Q2" s="35" t="s">
        <v>95</v>
      </c>
      <c r="R2" s="35" t="s">
        <v>96</v>
      </c>
      <c r="S2" s="139" t="s">
        <v>15</v>
      </c>
      <c r="T2" s="127"/>
      <c r="U2" s="127"/>
      <c r="V2" s="140" t="s">
        <v>16</v>
      </c>
      <c r="W2" s="140" t="s">
        <v>139</v>
      </c>
      <c r="X2" s="140" t="s">
        <v>140</v>
      </c>
      <c r="Y2" s="140"/>
      <c r="Z2" s="140" t="s">
        <v>17</v>
      </c>
      <c r="AA2" s="141" t="s">
        <v>18</v>
      </c>
      <c r="AB2" s="141" t="s">
        <v>19</v>
      </c>
      <c r="AC2" s="141" t="s">
        <v>20</v>
      </c>
      <c r="AD2" s="141" t="s">
        <v>21</v>
      </c>
      <c r="AE2" s="141" t="s">
        <v>22</v>
      </c>
      <c r="AF2" s="141" t="s">
        <v>23</v>
      </c>
      <c r="AG2" s="141" t="s">
        <v>24</v>
      </c>
      <c r="AH2" s="141" t="s">
        <v>25</v>
      </c>
      <c r="AI2" s="141" t="s">
        <v>26</v>
      </c>
      <c r="AJ2" s="141" t="s">
        <v>27</v>
      </c>
      <c r="AK2" s="141" t="s">
        <v>28</v>
      </c>
      <c r="AL2" s="141" t="s">
        <v>29</v>
      </c>
      <c r="AM2" s="141" t="s">
        <v>30</v>
      </c>
      <c r="AN2" s="141" t="s">
        <v>31</v>
      </c>
      <c r="AO2" s="141" t="s">
        <v>32</v>
      </c>
      <c r="AP2" s="141" t="s">
        <v>33</v>
      </c>
      <c r="AQ2" s="141" t="s">
        <v>34</v>
      </c>
      <c r="AR2" s="141" t="s">
        <v>35</v>
      </c>
      <c r="AS2" s="141" t="s">
        <v>36</v>
      </c>
      <c r="AT2" s="125"/>
      <c r="AU2" s="125"/>
      <c r="AV2" s="140" t="s">
        <v>37</v>
      </c>
      <c r="AW2" s="128" t="s">
        <v>61</v>
      </c>
      <c r="AX2" s="75"/>
      <c r="AY2" s="36" t="s">
        <v>97</v>
      </c>
      <c r="AZ2" s="142" t="s">
        <v>97</v>
      </c>
      <c r="BA2" s="141" t="s">
        <v>38</v>
      </c>
      <c r="BB2" s="143" t="s">
        <v>39</v>
      </c>
      <c r="BC2" s="143" t="s">
        <v>40</v>
      </c>
      <c r="BD2" s="143" t="s">
        <v>41</v>
      </c>
      <c r="BE2" s="143" t="s">
        <v>44</v>
      </c>
      <c r="BF2" s="143" t="s">
        <v>42</v>
      </c>
      <c r="BG2" s="144" t="s">
        <v>43</v>
      </c>
      <c r="BJ2" s="145"/>
      <c r="BL2" s="218" t="s">
        <v>779</v>
      </c>
      <c r="BM2" s="219"/>
      <c r="BN2" s="219"/>
      <c r="BO2" s="219"/>
      <c r="BP2" s="219"/>
      <c r="BQ2" s="219"/>
      <c r="BR2" s="219"/>
      <c r="BS2" s="219"/>
      <c r="BT2" s="219"/>
      <c r="BU2" s="219"/>
      <c r="BV2" s="219"/>
      <c r="BW2" s="219"/>
      <c r="BX2" s="219"/>
      <c r="BY2" s="219"/>
      <c r="BZ2" s="219"/>
      <c r="CA2" s="219"/>
      <c r="CB2" s="220"/>
    </row>
    <row r="3" spans="1:80" s="24" customFormat="1" ht="15.75" thickBot="1" x14ac:dyDescent="0.3">
      <c r="B3" s="76"/>
      <c r="C3" s="76"/>
      <c r="D3" s="76"/>
      <c r="E3" s="76"/>
      <c r="F3" s="76"/>
      <c r="G3" s="80"/>
      <c r="H3" s="80"/>
      <c r="I3" s="80"/>
      <c r="J3" s="76"/>
      <c r="K3" s="76"/>
      <c r="L3" s="76"/>
      <c r="M3" s="77"/>
      <c r="N3" s="77"/>
      <c r="O3" s="76"/>
      <c r="P3" s="76"/>
      <c r="Q3" s="77"/>
      <c r="R3" s="77"/>
      <c r="S3" s="78"/>
      <c r="T3" s="78"/>
      <c r="U3" s="78"/>
      <c r="V3" s="76"/>
      <c r="W3" s="76"/>
      <c r="X3" s="76"/>
      <c r="Y3" s="76"/>
      <c r="Z3" s="76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80"/>
      <c r="AU3" s="80"/>
      <c r="AV3" s="76"/>
      <c r="AW3" s="76"/>
      <c r="AX3" s="76"/>
      <c r="AY3" s="77"/>
      <c r="AZ3" s="77"/>
      <c r="BA3" s="79"/>
      <c r="BB3" s="76"/>
      <c r="BC3" s="76"/>
      <c r="BD3" s="76"/>
      <c r="BE3" s="76"/>
      <c r="BF3" s="76"/>
      <c r="BG3" s="76"/>
      <c r="BL3" s="160"/>
      <c r="CB3" s="161"/>
    </row>
    <row r="4" spans="1:80" ht="24" customHeight="1" outlineLevel="1" thickBot="1" x14ac:dyDescent="0.3">
      <c r="B4" s="223" t="s">
        <v>132</v>
      </c>
      <c r="C4" s="224"/>
      <c r="D4" s="224"/>
      <c r="E4" s="225"/>
      <c r="F4" s="86"/>
      <c r="G4" s="232" t="s">
        <v>130</v>
      </c>
      <c r="H4" s="233"/>
      <c r="I4" s="233"/>
      <c r="J4" s="234"/>
      <c r="K4" s="234"/>
      <c r="L4" s="234"/>
      <c r="M4" s="234"/>
      <c r="N4" s="234"/>
      <c r="O4" s="68" t="s">
        <v>131</v>
      </c>
      <c r="P4" s="130"/>
      <c r="Q4" s="86"/>
      <c r="R4" s="86"/>
      <c r="S4" s="131"/>
      <c r="T4" s="131"/>
      <c r="U4" s="131"/>
      <c r="V4" s="132" t="s">
        <v>162</v>
      </c>
      <c r="W4" s="86"/>
      <c r="X4" s="86"/>
      <c r="Y4" s="86"/>
      <c r="Z4" s="81" t="s">
        <v>156</v>
      </c>
      <c r="AA4" s="82" t="s">
        <v>341</v>
      </c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7"/>
      <c r="BL4" s="160"/>
      <c r="BM4" s="162"/>
      <c r="BN4" s="162"/>
      <c r="BO4" s="162"/>
      <c r="BP4" s="162"/>
      <c r="BQ4" s="162"/>
      <c r="BR4" s="162"/>
      <c r="BS4" s="162"/>
      <c r="BT4" s="162"/>
      <c r="BU4" s="162"/>
      <c r="BV4" s="162"/>
      <c r="BW4" s="162"/>
      <c r="BX4" s="162"/>
      <c r="BY4" s="162"/>
      <c r="BZ4" s="162"/>
      <c r="CA4" s="162"/>
      <c r="CB4" s="163"/>
    </row>
    <row r="5" spans="1:80" ht="24.75" customHeight="1" outlineLevel="1" thickBot="1" x14ac:dyDescent="0.3">
      <c r="B5" s="226"/>
      <c r="C5" s="227"/>
      <c r="D5" s="227"/>
      <c r="E5" s="228"/>
      <c r="F5" s="31"/>
      <c r="G5" s="232" t="s">
        <v>128</v>
      </c>
      <c r="H5" s="233"/>
      <c r="I5" s="233"/>
      <c r="J5" s="234"/>
      <c r="K5" s="234"/>
      <c r="L5" s="234"/>
      <c r="M5" s="234"/>
      <c r="N5" s="234"/>
      <c r="O5" s="68" t="s">
        <v>129</v>
      </c>
      <c r="P5" s="133"/>
      <c r="Q5" s="31"/>
      <c r="R5" s="31"/>
      <c r="S5" s="134"/>
      <c r="T5" s="134"/>
      <c r="U5" s="134"/>
      <c r="V5" s="159" t="s">
        <v>67</v>
      </c>
      <c r="W5" s="31"/>
      <c r="X5" s="31"/>
      <c r="Y5" s="31"/>
      <c r="Z5" s="67" t="s">
        <v>157</v>
      </c>
      <c r="AA5" s="72" t="s">
        <v>786</v>
      </c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135"/>
      <c r="BL5" s="160"/>
      <c r="BM5" s="162"/>
      <c r="BN5" s="162"/>
      <c r="BO5" s="162"/>
      <c r="BP5" s="162"/>
      <c r="BQ5" s="162"/>
      <c r="BR5" s="162"/>
      <c r="BS5" s="162"/>
      <c r="BT5" s="162"/>
      <c r="BU5" s="162"/>
      <c r="BV5" s="162"/>
      <c r="BW5" s="162"/>
      <c r="BX5" s="162"/>
      <c r="BY5" s="162"/>
      <c r="BZ5" s="162"/>
      <c r="CA5" s="162"/>
      <c r="CB5" s="163"/>
    </row>
    <row r="6" spans="1:80" ht="27" customHeight="1" outlineLevel="1" thickBot="1" x14ac:dyDescent="0.3">
      <c r="B6" s="226"/>
      <c r="C6" s="227"/>
      <c r="D6" s="227"/>
      <c r="E6" s="228"/>
      <c r="F6" s="31"/>
      <c r="G6" s="235" t="s">
        <v>166</v>
      </c>
      <c r="H6" s="236"/>
      <c r="I6" s="236"/>
      <c r="J6" s="237"/>
      <c r="K6" s="237"/>
      <c r="L6" s="237"/>
      <c r="M6" s="237"/>
      <c r="N6" s="237"/>
      <c r="O6" s="69" t="s">
        <v>783</v>
      </c>
      <c r="P6" s="133"/>
      <c r="Q6" s="31"/>
      <c r="R6" s="31"/>
      <c r="S6" s="134"/>
      <c r="T6" s="134"/>
      <c r="U6" s="134"/>
      <c r="V6" s="31"/>
      <c r="W6" s="31"/>
      <c r="X6" s="31"/>
      <c r="Y6" s="31"/>
      <c r="Z6" s="67" t="s">
        <v>158</v>
      </c>
      <c r="AA6" s="72" t="s">
        <v>781</v>
      </c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135"/>
      <c r="BL6" s="160"/>
      <c r="BM6" s="162"/>
      <c r="BN6" s="162"/>
      <c r="BO6" s="162"/>
      <c r="BP6" s="162"/>
      <c r="BQ6" s="162"/>
      <c r="BR6" s="162"/>
      <c r="BS6" s="162"/>
      <c r="BT6" s="162"/>
      <c r="BU6" s="162"/>
      <c r="BV6" s="162"/>
      <c r="BW6" s="162"/>
      <c r="BX6" s="162"/>
      <c r="BY6" s="162"/>
      <c r="BZ6" s="162"/>
      <c r="CA6" s="162"/>
      <c r="CB6" s="163"/>
    </row>
    <row r="7" spans="1:80" ht="27" customHeight="1" outlineLevel="1" thickBot="1" x14ac:dyDescent="0.3">
      <c r="B7" s="226"/>
      <c r="C7" s="227"/>
      <c r="D7" s="227"/>
      <c r="E7" s="228"/>
      <c r="F7" s="31"/>
      <c r="G7" s="232" t="s">
        <v>136</v>
      </c>
      <c r="H7" s="234"/>
      <c r="I7" s="234"/>
      <c r="J7" s="234"/>
      <c r="K7" s="83"/>
      <c r="L7" s="83"/>
      <c r="M7" s="83"/>
      <c r="N7" s="70" t="s">
        <v>784</v>
      </c>
      <c r="O7" s="70"/>
      <c r="P7" s="137"/>
      <c r="Q7" s="136"/>
      <c r="R7" s="136"/>
      <c r="S7" s="138"/>
      <c r="T7" s="138"/>
      <c r="U7" s="138"/>
      <c r="V7" s="85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135"/>
      <c r="BL7" s="160"/>
      <c r="BM7" s="162"/>
      <c r="BN7" s="162"/>
      <c r="BO7" s="162"/>
      <c r="BP7" s="162"/>
      <c r="BQ7" s="162"/>
      <c r="BR7" s="162"/>
      <c r="BS7" s="162"/>
      <c r="BT7" s="162"/>
      <c r="BU7" s="162"/>
      <c r="BV7" s="162"/>
      <c r="BW7" s="162"/>
      <c r="BX7" s="162"/>
      <c r="BY7" s="162"/>
      <c r="BZ7" s="162"/>
      <c r="CA7" s="162"/>
      <c r="CB7" s="163"/>
    </row>
    <row r="8" spans="1:80" ht="27" customHeight="1" outlineLevel="1" thickBot="1" x14ac:dyDescent="0.3">
      <c r="B8" s="226"/>
      <c r="C8" s="227"/>
      <c r="D8" s="227"/>
      <c r="E8" s="228"/>
      <c r="F8" s="31"/>
      <c r="G8" s="238" t="s">
        <v>557</v>
      </c>
      <c r="H8" s="239"/>
      <c r="I8" s="239"/>
      <c r="J8" s="239"/>
      <c r="K8" s="84"/>
      <c r="L8" s="84"/>
      <c r="M8" s="84"/>
      <c r="N8" s="71" t="s">
        <v>785</v>
      </c>
      <c r="O8" s="61"/>
      <c r="P8" s="62"/>
      <c r="Q8" s="31"/>
      <c r="R8" s="31"/>
      <c r="S8" s="134"/>
      <c r="T8" s="134"/>
      <c r="U8" s="134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135"/>
      <c r="BL8" s="160"/>
      <c r="BM8" s="162"/>
      <c r="BN8" s="162"/>
      <c r="BO8" s="162"/>
      <c r="BP8" s="162"/>
      <c r="BQ8" s="162"/>
      <c r="BR8" s="162"/>
      <c r="BS8" s="162"/>
      <c r="BT8" s="162"/>
      <c r="BU8" s="162"/>
      <c r="BV8" s="162"/>
      <c r="BW8" s="162"/>
      <c r="BX8" s="162"/>
      <c r="BY8" s="162"/>
      <c r="BZ8" s="162"/>
      <c r="CA8" s="162"/>
      <c r="CB8" s="163"/>
    </row>
    <row r="9" spans="1:80" ht="27.75" customHeight="1" outlineLevel="1" thickBot="1" x14ac:dyDescent="0.35">
      <c r="B9" s="229"/>
      <c r="C9" s="230"/>
      <c r="D9" s="230"/>
      <c r="E9" s="231"/>
      <c r="F9" s="59"/>
      <c r="G9" s="58"/>
      <c r="H9" s="59"/>
      <c r="I9" s="59"/>
      <c r="J9" s="59"/>
      <c r="K9" s="59"/>
      <c r="L9" s="59"/>
      <c r="M9" s="240" t="s">
        <v>127</v>
      </c>
      <c r="N9" s="241"/>
      <c r="O9" s="241"/>
      <c r="P9" s="195">
        <f>A53</f>
        <v>168</v>
      </c>
      <c r="Q9" s="85"/>
      <c r="R9" s="136"/>
      <c r="S9" s="221"/>
      <c r="T9" s="222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2"/>
      <c r="AF9" s="222"/>
      <c r="AG9" s="222"/>
      <c r="AH9" s="222"/>
      <c r="AI9" s="222"/>
      <c r="AJ9" s="222"/>
      <c r="AK9" s="222"/>
      <c r="AL9" s="222"/>
      <c r="AM9" s="222"/>
      <c r="AN9" s="222"/>
      <c r="AO9" s="222"/>
      <c r="AP9" s="222"/>
      <c r="AQ9" s="222"/>
      <c r="AR9" s="222"/>
      <c r="AS9" s="222"/>
      <c r="AT9" s="222"/>
      <c r="AU9" s="222"/>
      <c r="AV9" s="222"/>
      <c r="AW9" s="222"/>
      <c r="AX9" s="222"/>
      <c r="AY9" s="222"/>
      <c r="AZ9" s="222"/>
      <c r="BA9" s="222"/>
      <c r="BB9" s="136"/>
      <c r="BC9" s="136"/>
      <c r="BD9" s="136"/>
      <c r="BE9" s="136"/>
      <c r="BF9" s="136"/>
      <c r="BG9" s="85"/>
      <c r="BL9" s="160"/>
      <c r="BM9" s="162"/>
      <c r="BN9" s="162"/>
      <c r="BO9" s="162"/>
      <c r="BP9" s="162"/>
      <c r="BQ9" s="162"/>
      <c r="BR9" s="162"/>
      <c r="BS9" s="162"/>
      <c r="BT9" s="162"/>
      <c r="BU9" s="162"/>
      <c r="BV9" s="162"/>
      <c r="BW9" s="162"/>
      <c r="BX9" s="162"/>
      <c r="BY9" s="162"/>
      <c r="BZ9" s="162"/>
      <c r="CA9" s="162"/>
      <c r="CB9" s="163"/>
    </row>
    <row r="10" spans="1:80" s="98" customFormat="1" ht="21.75" thickBot="1" x14ac:dyDescent="0.3">
      <c r="B10" s="99" t="str">
        <f>N7</f>
        <v>Пробная позиция</v>
      </c>
      <c r="C10" s="192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 t="s">
        <v>778</v>
      </c>
      <c r="X10" s="100" t="s">
        <v>141</v>
      </c>
      <c r="Y10" s="100" t="s">
        <v>566</v>
      </c>
      <c r="Z10" s="202" t="str">
        <f>CONCATENATE(E12,W10,Y10)</f>
        <v>AAA777i      Входная переменная, Аналогового входного модуля</v>
      </c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0"/>
      <c r="BB10" s="100"/>
      <c r="BC10" s="100"/>
      <c r="BD10" s="100"/>
      <c r="BE10" s="100"/>
      <c r="BF10" s="100"/>
      <c r="BG10" s="101"/>
      <c r="BI10" s="98" t="s">
        <v>2</v>
      </c>
      <c r="BJ10" s="146" t="s">
        <v>159</v>
      </c>
      <c r="BL10" s="164" t="str">
        <f>CONCATENATE(BI10,BJ10,O4,BJ10,BJ10,BI10)</f>
        <v>F,AT1,,F</v>
      </c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165"/>
      <c r="BX10" s="165"/>
      <c r="BY10" s="165"/>
      <c r="BZ10" s="165"/>
      <c r="CA10" s="165"/>
      <c r="CB10" s="166"/>
    </row>
    <row r="11" spans="1:80" ht="21.75" thickBot="1" x14ac:dyDescent="0.4">
      <c r="A11" s="149"/>
      <c r="B11" s="90"/>
      <c r="C11" s="91"/>
      <c r="D11" s="91"/>
      <c r="E11" s="92"/>
      <c r="F11" s="207" t="s">
        <v>126</v>
      </c>
      <c r="G11" s="52" t="str">
        <f>CONCATENATE(O6,F11)</f>
        <v>AAA777_err</v>
      </c>
      <c r="H11" s="93" t="s">
        <v>134</v>
      </c>
      <c r="I11" s="30" t="s">
        <v>1</v>
      </c>
      <c r="J11" s="94" t="str">
        <f>CONCATENATE(O4,H11,O5,H11,I11)</f>
        <v>AT1_PLC1_D</v>
      </c>
      <c r="K11" s="196" t="s">
        <v>79</v>
      </c>
      <c r="L11" s="44" t="s">
        <v>102</v>
      </c>
      <c r="M11" s="41">
        <f>SUM(Q11,P9)</f>
        <v>2368</v>
      </c>
      <c r="N11" s="47" t="str">
        <f>CONCATENATE(L11,M11)</f>
        <v>%M2368</v>
      </c>
      <c r="O11" s="95" t="s">
        <v>160</v>
      </c>
      <c r="P11" s="40">
        <f>P9</f>
        <v>168</v>
      </c>
      <c r="Q11" s="32">
        <v>2200</v>
      </c>
      <c r="R11" s="10">
        <v>2499</v>
      </c>
      <c r="S11" s="21" t="s">
        <v>1</v>
      </c>
      <c r="T11" s="11" t="s">
        <v>133</v>
      </c>
      <c r="U11" s="96" t="s">
        <v>126</v>
      </c>
      <c r="V11" s="51" t="str">
        <f>CONCATENATE(O4,T11,O6,U11)</f>
        <v>AT1\AAA777_err</v>
      </c>
      <c r="W11" s="51" t="s">
        <v>138</v>
      </c>
      <c r="X11" s="51" t="s">
        <v>141</v>
      </c>
      <c r="Y11" s="9" t="s">
        <v>161</v>
      </c>
      <c r="Z11" s="9" t="str">
        <f>CONCATENATE(Y11,X11,O6)</f>
        <v>Отказ канала измерения  AAA777</v>
      </c>
      <c r="AA11" s="4" t="s">
        <v>2</v>
      </c>
      <c r="AB11" s="4" t="s">
        <v>1</v>
      </c>
      <c r="AC11" s="9" t="s">
        <v>3</v>
      </c>
      <c r="AD11" s="4" t="s">
        <v>2</v>
      </c>
      <c r="AE11" s="4" t="s">
        <v>2</v>
      </c>
      <c r="AF11" s="4"/>
      <c r="AG11" s="4"/>
      <c r="AH11" s="9"/>
      <c r="AI11" s="9"/>
      <c r="AJ11" s="4"/>
      <c r="AK11" s="9"/>
      <c r="AL11" s="9"/>
      <c r="AM11" s="4"/>
      <c r="AN11" s="9"/>
      <c r="AO11" s="4" t="s">
        <v>5</v>
      </c>
      <c r="AP11" s="4" t="s">
        <v>6</v>
      </c>
      <c r="AQ11" s="4" t="s">
        <v>5</v>
      </c>
      <c r="AR11" s="4"/>
      <c r="AS11" s="4"/>
      <c r="AT11" s="93" t="s">
        <v>134</v>
      </c>
      <c r="AU11" s="30" t="s">
        <v>1</v>
      </c>
      <c r="AV11" s="11" t="str">
        <f>CONCATENATE(O4,AT11,O5,AT11,AU11)</f>
        <v>AT1_PLC1_D</v>
      </c>
      <c r="AW11" s="11" t="s">
        <v>79</v>
      </c>
      <c r="AX11" s="44" t="s">
        <v>102</v>
      </c>
      <c r="AY11" s="47">
        <f>SUM(Q11,P9)</f>
        <v>2368</v>
      </c>
      <c r="AZ11" s="97" t="str">
        <f t="shared" ref="AZ11:AZ13" si="0">CONCATENATE(AX11,AY11)</f>
        <v>%M2368</v>
      </c>
      <c r="BA11" s="5" t="s">
        <v>7</v>
      </c>
      <c r="BB11" s="119"/>
      <c r="BC11" s="119"/>
      <c r="BD11" s="119"/>
      <c r="BE11" s="119"/>
      <c r="BF11" s="119"/>
      <c r="BG11" s="120"/>
      <c r="BJ11" s="146" t="s">
        <v>159</v>
      </c>
      <c r="BL11" s="167" t="str">
        <f>CONCATENATE(S11,BJ11,V11,BJ11,Z11,BJ11,AA11,BJ11,AB11,BJ11,AC11,BJ11,AD11,BJ11,AE11,BJ11,AF11,BJ11,AG11,BJ11,AH11,BJ11,AI11,BJ11,AJ11,BJ11,AK11,BJ11,AL11,BJ11,AM11,BJ11,AN11,BJ11,AO11,BJ11,AP11,BJ11,AQ11,BJ11,AR11,BJ11,AS11,BJ11,AV11,BJ11,BE11,AZ11,BJ11,BA11,BJ11,BB11,BJ11,BC11,BJ11,BD11,BJ11,BE11,BJ11,BF11,BJ11,)</f>
        <v>D,AT1\AAA777_err,Отказ канала измерения  AAA777,F,D,B,F,F,,,,,,,,,,Off,On,Off,,,AT1_PLC1_D,%M2368,A,,,,,,</v>
      </c>
      <c r="BM11" s="162"/>
      <c r="BN11" s="162"/>
      <c r="BO11" s="162"/>
      <c r="BP11" s="162"/>
      <c r="BQ11" s="162"/>
      <c r="BR11" s="162"/>
      <c r="BS11" s="162"/>
      <c r="BT11" s="162"/>
      <c r="BU11" s="162"/>
      <c r="BV11" s="162"/>
      <c r="BW11" s="162"/>
      <c r="BX11" s="162"/>
      <c r="BY11" s="162"/>
      <c r="BZ11" s="162"/>
      <c r="CA11" s="162"/>
      <c r="CB11" s="163"/>
    </row>
    <row r="12" spans="1:80" ht="45" customHeight="1" thickBot="1" x14ac:dyDescent="0.4">
      <c r="A12" s="150"/>
      <c r="B12" s="152" t="s">
        <v>738</v>
      </c>
      <c r="C12" s="193"/>
      <c r="D12" s="46" t="s">
        <v>105</v>
      </c>
      <c r="E12" s="27" t="str">
        <f>CONCATENATE(O6,D12)</f>
        <v>AAA777i</v>
      </c>
      <c r="F12" s="27"/>
      <c r="G12" s="153" t="str">
        <f>O6</f>
        <v>AAA777</v>
      </c>
      <c r="H12" s="153" t="s">
        <v>134</v>
      </c>
      <c r="I12" s="28" t="s">
        <v>7</v>
      </c>
      <c r="J12" s="60" t="str">
        <f>CONCATENATE(O4,H12,O5,H12,I12)</f>
        <v>AT1_PLC1_A</v>
      </c>
      <c r="K12" s="28" t="s">
        <v>68</v>
      </c>
      <c r="L12" s="45" t="s">
        <v>104</v>
      </c>
      <c r="M12" s="154">
        <f>SUM(Q12,P9*2)</f>
        <v>1336</v>
      </c>
      <c r="N12" s="155" t="str">
        <f>CONCATENATE(L12,M12)</f>
        <v>%MW1336</v>
      </c>
      <c r="O12" s="156" t="s">
        <v>47</v>
      </c>
      <c r="P12" s="42">
        <f>P9</f>
        <v>168</v>
      </c>
      <c r="Q12" s="34">
        <v>1000</v>
      </c>
      <c r="R12" s="29">
        <v>1599</v>
      </c>
      <c r="S12" s="21" t="s">
        <v>7</v>
      </c>
      <c r="T12" s="28" t="s">
        <v>133</v>
      </c>
      <c r="U12" s="28"/>
      <c r="V12" s="53" t="str">
        <f>CONCATENATE(O4,T12,O6,U12)</f>
        <v>AT1\AAA777</v>
      </c>
      <c r="W12" s="53" t="s">
        <v>138</v>
      </c>
      <c r="X12" s="53" t="s">
        <v>141</v>
      </c>
      <c r="Y12" s="157" t="str">
        <f>CONCATENATE(N7,X12,N8)</f>
        <v>Пробная позиция  Н000</v>
      </c>
      <c r="Z12" s="157" t="str">
        <f>CONCATENATE(O6,W12,N7,X12,N8)</f>
        <v>AAA777        Пробная позиция  Н000</v>
      </c>
      <c r="AA12" s="158" t="s">
        <v>2</v>
      </c>
      <c r="AB12" s="158" t="s">
        <v>1</v>
      </c>
      <c r="AC12" s="157" t="s">
        <v>3</v>
      </c>
      <c r="AD12" s="158" t="s">
        <v>4</v>
      </c>
      <c r="AE12" s="158" t="s">
        <v>2</v>
      </c>
      <c r="AF12" s="158" t="s">
        <v>1</v>
      </c>
      <c r="AG12" s="158" t="s">
        <v>8</v>
      </c>
      <c r="AH12" s="157" t="str">
        <f>AA6</f>
        <v>0</v>
      </c>
      <c r="AI12" s="157" t="str">
        <f>AA5</f>
        <v>100</v>
      </c>
      <c r="AJ12" s="158">
        <v>0</v>
      </c>
      <c r="AK12" s="157">
        <v>1</v>
      </c>
      <c r="AL12" s="157">
        <v>0</v>
      </c>
      <c r="AM12" s="158">
        <v>0</v>
      </c>
      <c r="AN12" s="157" t="str">
        <f>AA4</f>
        <v>м³</v>
      </c>
      <c r="AO12" s="158"/>
      <c r="AP12" s="158"/>
      <c r="AQ12" s="158"/>
      <c r="AR12" s="158"/>
      <c r="AS12" s="158"/>
      <c r="AT12" s="153" t="s">
        <v>134</v>
      </c>
      <c r="AU12" s="28" t="s">
        <v>7</v>
      </c>
      <c r="AV12" s="37" t="str">
        <f>CONCATENATE(O4,AT12,O5,AT12,AU12)</f>
        <v>AT1_PLC1_A</v>
      </c>
      <c r="AW12" s="11" t="s">
        <v>75</v>
      </c>
      <c r="AX12" s="44" t="s">
        <v>103</v>
      </c>
      <c r="AY12" s="63">
        <f>SUM(Q12,P9*2)</f>
        <v>1336</v>
      </c>
      <c r="AZ12" s="65" t="str">
        <f t="shared" si="0"/>
        <v>%MF1336</v>
      </c>
      <c r="BA12" s="5" t="s">
        <v>7</v>
      </c>
      <c r="BB12" s="121"/>
      <c r="BC12" s="121"/>
      <c r="BD12" s="121"/>
      <c r="BE12" s="121"/>
      <c r="BF12" s="121"/>
      <c r="BG12" s="122"/>
      <c r="BJ12" s="146" t="s">
        <v>159</v>
      </c>
      <c r="BL12" s="167" t="str">
        <f t="shared" ref="BL12:BL27" si="1">CONCATENATE(S12,BJ12,V12,BJ12,Z12,BJ12,AA12,BJ12,AB12,BJ12,AC12,BJ12,AD12,BJ12,AE12,BJ12,AF12,BJ12,AG12,BJ12,AH12,BJ12,AI12,BJ12,AJ12,BJ12,AK12,BJ12,AL12,BJ12,AM12,BJ12,AN12,BJ12,AO12,BJ12,AP12,BJ12,AQ12,BJ12,AR12,BJ12,AS12,BJ12,AV12,BJ12,BE12,AZ12,BJ12,BA12,BJ12,BB12,BJ12,BC12,BJ12,BD12,BJ12,BE12,BJ12,BF12,BJ12,)</f>
        <v>A,AT1\AAA777,AAA777        Пробная позиция  Н000,F,D,B,T,F,D,L,0,100,0,1,0,0,м³,,,,,,AT1_PLC1_A,%MF1336,A,,,,,,</v>
      </c>
      <c r="BM12" s="162"/>
      <c r="BN12" s="162"/>
      <c r="BO12" s="162"/>
      <c r="BP12" s="162"/>
      <c r="BQ12" s="162"/>
      <c r="BR12" s="162"/>
      <c r="BS12" s="162"/>
      <c r="BT12" s="162"/>
      <c r="BU12" s="162"/>
      <c r="BV12" s="162"/>
      <c r="BW12" s="162"/>
      <c r="BX12" s="162"/>
      <c r="BY12" s="162"/>
      <c r="BZ12" s="162"/>
      <c r="CA12" s="162"/>
      <c r="CB12" s="163"/>
    </row>
    <row r="13" spans="1:80" ht="21.75" thickBot="1" x14ac:dyDescent="0.4">
      <c r="A13" s="150"/>
      <c r="B13" s="113"/>
      <c r="C13" s="114"/>
      <c r="D13" s="114"/>
      <c r="E13" s="200">
        <v>2</v>
      </c>
      <c r="F13" s="201" t="s">
        <v>568</v>
      </c>
      <c r="G13" s="52" t="str">
        <f>CONCATENATE(O6,F13)</f>
        <v>AAA777_Bdiz</v>
      </c>
      <c r="H13" s="115" t="s">
        <v>134</v>
      </c>
      <c r="I13" s="13" t="s">
        <v>1</v>
      </c>
      <c r="J13" s="25" t="str">
        <f>CONCATENATE(O4,H13,O5,H13,I13)</f>
        <v>AT1_PLC1_D</v>
      </c>
      <c r="K13" s="13" t="s">
        <v>98</v>
      </c>
      <c r="L13" s="44" t="s">
        <v>102</v>
      </c>
      <c r="M13" s="38">
        <f>SUM(Q13,P9)</f>
        <v>4168</v>
      </c>
      <c r="N13" s="55" t="str">
        <f>CONCATENATE(L13,M13)</f>
        <v>%M4168</v>
      </c>
      <c r="O13" s="48" t="s">
        <v>48</v>
      </c>
      <c r="P13" s="40">
        <f>P9</f>
        <v>168</v>
      </c>
      <c r="Q13" s="33">
        <v>4000</v>
      </c>
      <c r="R13" s="26">
        <v>4299</v>
      </c>
      <c r="S13" s="18" t="s">
        <v>1</v>
      </c>
      <c r="T13" s="13" t="s">
        <v>133</v>
      </c>
      <c r="U13" s="13" t="s">
        <v>113</v>
      </c>
      <c r="V13" s="52" t="str">
        <f>CONCATENATE(O4,T13,O6,U13)</f>
        <v>AT1\AAA777_BDiz</v>
      </c>
      <c r="W13" s="52" t="s">
        <v>138</v>
      </c>
      <c r="X13" s="52" t="s">
        <v>141</v>
      </c>
      <c r="Y13" s="14" t="s">
        <v>142</v>
      </c>
      <c r="Z13" s="14" t="str">
        <f>CONCATENATE(Y13,O6)</f>
        <v>Отключение блокировки по AAA777</v>
      </c>
      <c r="AA13" s="2" t="s">
        <v>2</v>
      </c>
      <c r="AB13" s="2" t="s">
        <v>1</v>
      </c>
      <c r="AC13" s="14" t="s">
        <v>1</v>
      </c>
      <c r="AD13" s="2" t="s">
        <v>2</v>
      </c>
      <c r="AE13" s="2" t="s">
        <v>2</v>
      </c>
      <c r="AF13" s="2"/>
      <c r="AG13" s="2"/>
      <c r="AH13" s="14"/>
      <c r="AI13" s="14"/>
      <c r="AJ13" s="2"/>
      <c r="AK13" s="14"/>
      <c r="AL13" s="14"/>
      <c r="AM13" s="2"/>
      <c r="AN13" s="14"/>
      <c r="AO13" s="2" t="s">
        <v>5</v>
      </c>
      <c r="AP13" s="2" t="s">
        <v>6</v>
      </c>
      <c r="AQ13" s="2" t="s">
        <v>5</v>
      </c>
      <c r="AR13" s="2"/>
      <c r="AS13" s="2"/>
      <c r="AT13" s="19" t="s">
        <v>134</v>
      </c>
      <c r="AU13" s="13" t="s">
        <v>1</v>
      </c>
      <c r="AV13" s="13" t="str">
        <f>CONCATENATE(O4,AT13,O5,AT13,AU13)</f>
        <v>AT1_PLC1_D</v>
      </c>
      <c r="AW13" s="13" t="s">
        <v>76</v>
      </c>
      <c r="AX13" s="44" t="s">
        <v>102</v>
      </c>
      <c r="AY13" s="63">
        <f>SUM(Q13,P9)</f>
        <v>4168</v>
      </c>
      <c r="AZ13" s="65" t="str">
        <f t="shared" si="0"/>
        <v>%M4168</v>
      </c>
      <c r="BA13" s="3" t="s">
        <v>7</v>
      </c>
      <c r="BB13" s="121"/>
      <c r="BC13" s="121"/>
      <c r="BD13" s="121"/>
      <c r="BE13" s="121"/>
      <c r="BF13" s="121"/>
      <c r="BG13" s="122"/>
      <c r="BJ13" s="146" t="s">
        <v>159</v>
      </c>
      <c r="BL13" s="167" t="str">
        <f t="shared" si="1"/>
        <v>D,AT1\AAA777_BDiz,Отключение блокировки по AAA777,F,D,D,F,F,,,,,,,,,,Off,On,Off,,,AT1_PLC1_D,%M4168,A,,,,,,</v>
      </c>
      <c r="BM13" s="162"/>
      <c r="BN13" s="162"/>
      <c r="BO13" s="162"/>
      <c r="BP13" s="162"/>
      <c r="BQ13" s="162"/>
      <c r="BR13" s="162"/>
      <c r="BS13" s="162"/>
      <c r="BT13" s="162"/>
      <c r="BU13" s="162"/>
      <c r="BV13" s="162"/>
      <c r="BW13" s="162"/>
      <c r="BX13" s="162"/>
      <c r="BY13" s="162"/>
      <c r="BZ13" s="162"/>
      <c r="CA13" s="162"/>
      <c r="CB13" s="163"/>
    </row>
    <row r="14" spans="1:80" ht="21.75" thickBot="1" x14ac:dyDescent="0.4">
      <c r="A14" s="150"/>
      <c r="B14" s="113"/>
      <c r="C14" s="114"/>
      <c r="D14" s="114"/>
      <c r="E14" s="200">
        <v>4</v>
      </c>
      <c r="F14" s="201" t="s">
        <v>106</v>
      </c>
      <c r="G14" s="52" t="str">
        <f>CONCATENATE(O6,F14)</f>
        <v>AAA777_Par_BLK</v>
      </c>
      <c r="H14" s="52" t="s">
        <v>134</v>
      </c>
      <c r="I14" s="13" t="s">
        <v>1</v>
      </c>
      <c r="J14" s="25" t="str">
        <f>CONCATENATE(O4,H14,O5,H14,I14)</f>
        <v>AT1_PLC1_D</v>
      </c>
      <c r="K14" s="13" t="s">
        <v>99</v>
      </c>
      <c r="L14" s="44" t="s">
        <v>102</v>
      </c>
      <c r="M14" s="38">
        <f>SUM(Q14,P9)</f>
        <v>4668</v>
      </c>
      <c r="N14" s="55" t="str">
        <f t="shared" ref="N14:N27" si="2">CONCATENATE(L14,M14)</f>
        <v>%M4668</v>
      </c>
      <c r="O14" s="48" t="s">
        <v>49</v>
      </c>
      <c r="P14" s="40">
        <f>P9</f>
        <v>168</v>
      </c>
      <c r="Q14" s="33">
        <v>4500</v>
      </c>
      <c r="R14" s="26">
        <v>4799</v>
      </c>
      <c r="S14" s="18" t="s">
        <v>1</v>
      </c>
      <c r="T14" s="13" t="s">
        <v>133</v>
      </c>
      <c r="U14" s="13" t="s">
        <v>114</v>
      </c>
      <c r="V14" s="52" t="str">
        <f>CONCATENATE(O4,T14,O6,U14)</f>
        <v>AT1\AAA777_Blk</v>
      </c>
      <c r="W14" s="52" t="s">
        <v>138</v>
      </c>
      <c r="X14" s="52" t="s">
        <v>141</v>
      </c>
      <c r="Y14" s="14" t="s">
        <v>143</v>
      </c>
      <c r="Z14" s="14" t="str">
        <f>CONCATENATE(Y14,O6)</f>
        <v>Срабатывание Блокировки по AAA777</v>
      </c>
      <c r="AA14" s="2" t="s">
        <v>2</v>
      </c>
      <c r="AB14" s="2" t="s">
        <v>1</v>
      </c>
      <c r="AC14" s="14" t="s">
        <v>1</v>
      </c>
      <c r="AD14" s="2" t="s">
        <v>2</v>
      </c>
      <c r="AE14" s="2" t="s">
        <v>2</v>
      </c>
      <c r="AF14" s="2"/>
      <c r="AG14" s="2"/>
      <c r="AH14" s="14"/>
      <c r="AI14" s="14"/>
      <c r="AJ14" s="2"/>
      <c r="AK14" s="14"/>
      <c r="AL14" s="14"/>
      <c r="AM14" s="2"/>
      <c r="AN14" s="14"/>
      <c r="AO14" s="2" t="s">
        <v>5</v>
      </c>
      <c r="AP14" s="2" t="s">
        <v>6</v>
      </c>
      <c r="AQ14" s="2" t="s">
        <v>5</v>
      </c>
      <c r="AR14" s="2"/>
      <c r="AS14" s="2"/>
      <c r="AT14" s="52" t="s">
        <v>134</v>
      </c>
      <c r="AU14" s="13" t="s">
        <v>1</v>
      </c>
      <c r="AV14" s="13" t="str">
        <f>CONCATENATE(O4,AT14,O5,AT14,AU14)</f>
        <v>AT1_PLC1_D</v>
      </c>
      <c r="AW14" s="13" t="s">
        <v>99</v>
      </c>
      <c r="AX14" s="44" t="s">
        <v>102</v>
      </c>
      <c r="AY14" s="63">
        <f>SUM(Q14,P9)</f>
        <v>4668</v>
      </c>
      <c r="AZ14" s="65" t="str">
        <f>CONCATENATE(AX14,AY14)</f>
        <v>%M4668</v>
      </c>
      <c r="BA14" s="3" t="s">
        <v>7</v>
      </c>
      <c r="BB14" s="121"/>
      <c r="BC14" s="121"/>
      <c r="BD14" s="121"/>
      <c r="BE14" s="121"/>
      <c r="BF14" s="121"/>
      <c r="BG14" s="122"/>
      <c r="BJ14" s="146" t="s">
        <v>159</v>
      </c>
      <c r="BL14" s="167" t="str">
        <f t="shared" si="1"/>
        <v>D,AT1\AAA777_Blk,Срабатывание Блокировки по AAA777,F,D,D,F,F,,,,,,,,,,Off,On,Off,,,AT1_PLC1_D,%M4668,A,,,,,,</v>
      </c>
      <c r="BM14" s="162"/>
      <c r="BN14" s="162"/>
      <c r="BO14" s="162"/>
      <c r="BP14" s="162"/>
      <c r="BQ14" s="162"/>
      <c r="BR14" s="162"/>
      <c r="BS14" s="162"/>
      <c r="BT14" s="162"/>
      <c r="BU14" s="162"/>
      <c r="BV14" s="162"/>
      <c r="BW14" s="162"/>
      <c r="BX14" s="162"/>
      <c r="BY14" s="162"/>
      <c r="BZ14" s="162"/>
      <c r="CA14" s="162"/>
      <c r="CB14" s="163"/>
    </row>
    <row r="15" spans="1:80" ht="77.25" thickBot="1" x14ac:dyDescent="0.4">
      <c r="A15" s="150"/>
      <c r="B15" s="113"/>
      <c r="C15" s="114"/>
      <c r="D15" s="114"/>
      <c r="E15" s="200">
        <v>5</v>
      </c>
      <c r="F15" s="201" t="s">
        <v>115</v>
      </c>
      <c r="G15" s="52" t="str">
        <f>CONCATENATE(O6,F15)</f>
        <v>AAA777_BMax</v>
      </c>
      <c r="H15" s="115" t="s">
        <v>134</v>
      </c>
      <c r="I15" s="13" t="s">
        <v>135</v>
      </c>
      <c r="J15" s="25" t="str">
        <f>CONCATENATE(O4,H15,O5,H15,I15)</f>
        <v>AT1_PLC1_N</v>
      </c>
      <c r="K15" s="13" t="s">
        <v>89</v>
      </c>
      <c r="L15" s="44" t="s">
        <v>104</v>
      </c>
      <c r="M15" s="38">
        <f>SUM(Q15,P9*2)</f>
        <v>15336</v>
      </c>
      <c r="N15" s="55" t="str">
        <f t="shared" si="2"/>
        <v>%MW15336</v>
      </c>
      <c r="O15" s="48" t="s">
        <v>50</v>
      </c>
      <c r="P15" s="40">
        <f>P9</f>
        <v>168</v>
      </c>
      <c r="Q15" s="33">
        <v>15000</v>
      </c>
      <c r="R15" s="26">
        <v>15599</v>
      </c>
      <c r="S15" s="18" t="s">
        <v>7</v>
      </c>
      <c r="T15" s="13" t="s">
        <v>133</v>
      </c>
      <c r="U15" s="13" t="s">
        <v>115</v>
      </c>
      <c r="V15" s="52" t="str">
        <f>CONCATENATE(O4,T15,O6,U15)</f>
        <v>AT1\AAA777_BMax</v>
      </c>
      <c r="W15" s="52" t="s">
        <v>138</v>
      </c>
      <c r="X15" s="52" t="s">
        <v>141</v>
      </c>
      <c r="Y15" s="20" t="s">
        <v>144</v>
      </c>
      <c r="Z15" s="20" t="str">
        <f>CONCATENATE(O6,W15,Y15)</f>
        <v xml:space="preserve">AAA777        Порог срабатывания блокировки по MAX  </v>
      </c>
      <c r="AA15" s="2" t="s">
        <v>2</v>
      </c>
      <c r="AB15" s="2" t="s">
        <v>1</v>
      </c>
      <c r="AC15" s="14" t="s">
        <v>1</v>
      </c>
      <c r="AD15" s="2" t="s">
        <v>2</v>
      </c>
      <c r="AE15" s="2" t="s">
        <v>2</v>
      </c>
      <c r="AF15" s="2" t="s">
        <v>1</v>
      </c>
      <c r="AG15" s="2" t="s">
        <v>8</v>
      </c>
      <c r="AH15" s="9" t="str">
        <f>AA6</f>
        <v>0</v>
      </c>
      <c r="AI15" s="9" t="str">
        <f>AA5</f>
        <v>100</v>
      </c>
      <c r="AJ15" s="2">
        <v>0</v>
      </c>
      <c r="AK15" s="14">
        <v>1</v>
      </c>
      <c r="AL15" s="14">
        <v>0</v>
      </c>
      <c r="AM15" s="2">
        <v>0</v>
      </c>
      <c r="AN15" s="9" t="str">
        <f>AA4</f>
        <v>м³</v>
      </c>
      <c r="AO15" s="2"/>
      <c r="AP15" s="2"/>
      <c r="AQ15" s="2"/>
      <c r="AR15" s="2"/>
      <c r="AS15" s="2"/>
      <c r="AT15" s="19" t="s">
        <v>134</v>
      </c>
      <c r="AU15" s="13" t="s">
        <v>135</v>
      </c>
      <c r="AV15" s="13" t="str">
        <f>CONCATENATE(O4,AT15,O5,AT15,AU15)</f>
        <v>AT1_PLC1_N</v>
      </c>
      <c r="AW15" s="13" t="s">
        <v>77</v>
      </c>
      <c r="AX15" s="44" t="s">
        <v>103</v>
      </c>
      <c r="AY15" s="63">
        <f>SUM(Q15,P13*2)</f>
        <v>15336</v>
      </c>
      <c r="AZ15" s="65" t="str">
        <f t="shared" ref="AZ15:AZ27" si="3">CONCATENATE(AX15,AY15)</f>
        <v>%MF15336</v>
      </c>
      <c r="BA15" s="3" t="s">
        <v>7</v>
      </c>
      <c r="BB15" s="121"/>
      <c r="BC15" s="121"/>
      <c r="BD15" s="121"/>
      <c r="BE15" s="121"/>
      <c r="BF15" s="121"/>
      <c r="BG15" s="122"/>
      <c r="BJ15" s="146" t="s">
        <v>159</v>
      </c>
      <c r="BL15" s="167" t="str">
        <f t="shared" si="1"/>
        <v>A,AT1\AAA777_BMax,AAA777        Порог срабатывания блокировки по MAX  ,F,D,D,F,F,D,L,0,100,0,1,0,0,м³,,,,,,AT1_PLC1_N,%MF15336,A,,,,,,</v>
      </c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3"/>
    </row>
    <row r="16" spans="1:80" ht="77.25" thickBot="1" x14ac:dyDescent="0.4">
      <c r="A16" s="150"/>
      <c r="B16" s="113"/>
      <c r="C16" s="114"/>
      <c r="D16" s="114"/>
      <c r="E16" s="200">
        <v>6</v>
      </c>
      <c r="F16" s="208" t="s">
        <v>116</v>
      </c>
      <c r="G16" s="52" t="str">
        <f>CONCATENATE(O6,F16)</f>
        <v>AAA777_BMin</v>
      </c>
      <c r="H16" s="115" t="s">
        <v>134</v>
      </c>
      <c r="I16" s="13" t="s">
        <v>135</v>
      </c>
      <c r="J16" s="25" t="str">
        <f>CONCATENATE(O4,H16,O5,H16,I16)</f>
        <v>AT1_PLC1_N</v>
      </c>
      <c r="K16" s="13" t="s">
        <v>90</v>
      </c>
      <c r="L16" s="44" t="s">
        <v>104</v>
      </c>
      <c r="M16" s="38">
        <f>SUM(Q16,P9*2)</f>
        <v>15936</v>
      </c>
      <c r="N16" s="55" t="str">
        <f t="shared" si="2"/>
        <v>%MW15936</v>
      </c>
      <c r="O16" s="48" t="s">
        <v>51</v>
      </c>
      <c r="P16" s="40">
        <f>P9</f>
        <v>168</v>
      </c>
      <c r="Q16" s="33">
        <v>15600</v>
      </c>
      <c r="R16" s="26">
        <v>16200</v>
      </c>
      <c r="S16" s="18" t="s">
        <v>7</v>
      </c>
      <c r="T16" s="13" t="s">
        <v>133</v>
      </c>
      <c r="U16" s="13" t="s">
        <v>116</v>
      </c>
      <c r="V16" s="52" t="str">
        <f>CONCATENATE(O4,T16,O6,U16)</f>
        <v>AT1\AAA777_BMin</v>
      </c>
      <c r="W16" s="52" t="s">
        <v>138</v>
      </c>
      <c r="X16" s="52" t="s">
        <v>141</v>
      </c>
      <c r="Y16" s="20" t="s">
        <v>145</v>
      </c>
      <c r="Z16" s="20" t="str">
        <f>CONCATENATE(O6,W16,Y16)</f>
        <v xml:space="preserve">AAA777        Порог срабатывания блокировки по MIN  </v>
      </c>
      <c r="AA16" s="2" t="s">
        <v>2</v>
      </c>
      <c r="AB16" s="2" t="s">
        <v>1</v>
      </c>
      <c r="AC16" s="14" t="s">
        <v>1</v>
      </c>
      <c r="AD16" s="2" t="s">
        <v>2</v>
      </c>
      <c r="AE16" s="2" t="s">
        <v>2</v>
      </c>
      <c r="AF16" s="2" t="s">
        <v>1</v>
      </c>
      <c r="AG16" s="2" t="s">
        <v>8</v>
      </c>
      <c r="AH16" s="9" t="str">
        <f>AA6</f>
        <v>0</v>
      </c>
      <c r="AI16" s="9" t="str">
        <f>AA5</f>
        <v>100</v>
      </c>
      <c r="AJ16" s="2">
        <v>0</v>
      </c>
      <c r="AK16" s="14">
        <v>1</v>
      </c>
      <c r="AL16" s="14">
        <v>0</v>
      </c>
      <c r="AM16" s="2">
        <v>0</v>
      </c>
      <c r="AN16" s="9" t="str">
        <f>AA4</f>
        <v>м³</v>
      </c>
      <c r="AO16" s="2"/>
      <c r="AP16" s="2"/>
      <c r="AQ16" s="2"/>
      <c r="AR16" s="2"/>
      <c r="AS16" s="2"/>
      <c r="AT16" s="19" t="s">
        <v>134</v>
      </c>
      <c r="AU16" s="13" t="s">
        <v>135</v>
      </c>
      <c r="AV16" s="13" t="str">
        <f>CONCATENATE(O4,AT16,O5,AT16,AU16)</f>
        <v>AT1_PLC1_N</v>
      </c>
      <c r="AW16" s="13" t="s">
        <v>78</v>
      </c>
      <c r="AX16" s="44" t="s">
        <v>103</v>
      </c>
      <c r="AY16" s="63">
        <f>SUM(Q16,P9*2)</f>
        <v>15936</v>
      </c>
      <c r="AZ16" s="65" t="str">
        <f t="shared" si="3"/>
        <v>%MF15936</v>
      </c>
      <c r="BA16" s="3" t="s">
        <v>7</v>
      </c>
      <c r="BB16" s="121"/>
      <c r="BC16" s="121"/>
      <c r="BD16" s="121"/>
      <c r="BE16" s="121"/>
      <c r="BF16" s="121"/>
      <c r="BG16" s="122"/>
      <c r="BJ16" s="146" t="s">
        <v>159</v>
      </c>
      <c r="BL16" s="167" t="str">
        <f t="shared" si="1"/>
        <v>A,AT1\AAA777_BMin,AAA777        Порог срабатывания блокировки по MIN  ,F,D,D,F,F,D,L,0,100,0,1,0,0,м³,,,,,,AT1_PLC1_N,%MF15936,A,,,,,,</v>
      </c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3"/>
    </row>
    <row r="17" spans="1:80" ht="21.75" thickBot="1" x14ac:dyDescent="0.4">
      <c r="A17" s="150"/>
      <c r="B17" s="113"/>
      <c r="C17" s="114"/>
      <c r="D17" s="114"/>
      <c r="E17" s="200">
        <v>7</v>
      </c>
      <c r="F17" s="208" t="s">
        <v>117</v>
      </c>
      <c r="G17" s="52" t="str">
        <f>CONCATENATE(O6,F17)</f>
        <v>AAA777_BMode</v>
      </c>
      <c r="H17" s="115" t="s">
        <v>134</v>
      </c>
      <c r="I17" s="13" t="s">
        <v>7</v>
      </c>
      <c r="J17" s="25" t="str">
        <f>CONCATENATE(O4,H17,O5,H17,I17)</f>
        <v>AT1_PLC1_A</v>
      </c>
      <c r="K17" s="13" t="s">
        <v>100</v>
      </c>
      <c r="L17" s="44" t="s">
        <v>104</v>
      </c>
      <c r="M17" s="38">
        <f>SUM(Q17,P9)</f>
        <v>7168</v>
      </c>
      <c r="N17" s="55" t="str">
        <f t="shared" si="2"/>
        <v>%MW7168</v>
      </c>
      <c r="O17" s="48" t="s">
        <v>52</v>
      </c>
      <c r="P17" s="40">
        <f>P9</f>
        <v>168</v>
      </c>
      <c r="Q17" s="33">
        <v>7000</v>
      </c>
      <c r="R17" s="26">
        <v>7299</v>
      </c>
      <c r="S17" s="18" t="s">
        <v>7</v>
      </c>
      <c r="T17" s="13" t="s">
        <v>133</v>
      </c>
      <c r="U17" s="13" t="s">
        <v>117</v>
      </c>
      <c r="V17" s="52" t="str">
        <f>CONCATENATE(O4,T17,O6,U17)</f>
        <v>AT1\AAA777_BMode</v>
      </c>
      <c r="W17" s="52" t="s">
        <v>138</v>
      </c>
      <c r="X17" s="52" t="s">
        <v>141</v>
      </c>
      <c r="Y17" s="14" t="s">
        <v>146</v>
      </c>
      <c r="Z17" s="14" t="str">
        <f>CONCATENATE(O6,W17,Y17)</f>
        <v>AAA777        Режим блокировки (0-нет 1-min 2-max 3-max&amp;min).</v>
      </c>
      <c r="AA17" s="2" t="s">
        <v>2</v>
      </c>
      <c r="AB17" s="2" t="s">
        <v>1</v>
      </c>
      <c r="AC17" s="14" t="s">
        <v>1</v>
      </c>
      <c r="AD17" s="2" t="s">
        <v>2</v>
      </c>
      <c r="AE17" s="2" t="s">
        <v>2</v>
      </c>
      <c r="AF17" s="2" t="s">
        <v>1</v>
      </c>
      <c r="AG17" s="2" t="s">
        <v>8</v>
      </c>
      <c r="AH17" s="14">
        <v>0</v>
      </c>
      <c r="AI17" s="14">
        <v>10</v>
      </c>
      <c r="AJ17" s="2">
        <v>0</v>
      </c>
      <c r="AK17" s="14">
        <v>1</v>
      </c>
      <c r="AL17" s="14">
        <v>0</v>
      </c>
      <c r="AM17" s="2">
        <v>0</v>
      </c>
      <c r="AN17" s="14" t="s">
        <v>9</v>
      </c>
      <c r="AO17" s="2"/>
      <c r="AP17" s="2"/>
      <c r="AQ17" s="2"/>
      <c r="AR17" s="2"/>
      <c r="AS17" s="2"/>
      <c r="AT17" s="19" t="s">
        <v>134</v>
      </c>
      <c r="AU17" s="13" t="s">
        <v>7</v>
      </c>
      <c r="AV17" s="13" t="str">
        <f>CONCATENATE(O4,AT17,O5,AT17,AU17)</f>
        <v>AT1_PLC1_A</v>
      </c>
      <c r="AW17" s="13" t="s">
        <v>100</v>
      </c>
      <c r="AX17" s="44" t="s">
        <v>104</v>
      </c>
      <c r="AY17" s="63">
        <f>SUM(Q17,P9)</f>
        <v>7168</v>
      </c>
      <c r="AZ17" s="65" t="str">
        <f t="shared" si="3"/>
        <v>%MW7168</v>
      </c>
      <c r="BA17" s="3" t="s">
        <v>7</v>
      </c>
      <c r="BB17" s="121"/>
      <c r="BC17" s="121"/>
      <c r="BD17" s="121"/>
      <c r="BE17" s="121"/>
      <c r="BF17" s="121"/>
      <c r="BG17" s="122"/>
      <c r="BJ17" s="146" t="s">
        <v>159</v>
      </c>
      <c r="BL17" s="167" t="str">
        <f t="shared" si="1"/>
        <v>A,AT1\AAA777_BMode,AAA777        Режим блокировки (0-нет 1-min 2-max 3-max&amp;min).,F,D,D,F,F,D,L,0,10,0,1,0,0,.,,,,,,AT1_PLC1_A,%MW7168,A,,,,,,</v>
      </c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3"/>
    </row>
    <row r="18" spans="1:80" ht="21.75" thickBot="1" x14ac:dyDescent="0.4">
      <c r="A18" s="150"/>
      <c r="B18" s="113"/>
      <c r="C18" s="114"/>
      <c r="D18" s="114"/>
      <c r="E18" s="200">
        <v>8</v>
      </c>
      <c r="F18" s="208" t="s">
        <v>118</v>
      </c>
      <c r="G18" s="52" t="str">
        <f>CONCATENATE(O6,F18)</f>
        <v>AAA777_BTime</v>
      </c>
      <c r="H18" s="115" t="s">
        <v>134</v>
      </c>
      <c r="I18" s="13" t="s">
        <v>135</v>
      </c>
      <c r="J18" s="25" t="str">
        <f>CONCATENATE(O4,H18,O5,H18,I18)</f>
        <v>AT1_PLC1_N</v>
      </c>
      <c r="K18" s="13" t="s">
        <v>101</v>
      </c>
      <c r="L18" s="44" t="s">
        <v>104</v>
      </c>
      <c r="M18" s="38">
        <f>SUM(Q18,P9)</f>
        <v>7668</v>
      </c>
      <c r="N18" s="55" t="str">
        <f t="shared" si="2"/>
        <v>%MW7668</v>
      </c>
      <c r="O18" s="48" t="s">
        <v>53</v>
      </c>
      <c r="P18" s="40">
        <f>P9</f>
        <v>168</v>
      </c>
      <c r="Q18" s="33">
        <v>7500</v>
      </c>
      <c r="R18" s="26">
        <v>7799</v>
      </c>
      <c r="S18" s="18" t="s">
        <v>7</v>
      </c>
      <c r="T18" s="13" t="s">
        <v>133</v>
      </c>
      <c r="U18" s="13" t="s">
        <v>118</v>
      </c>
      <c r="V18" s="52" t="str">
        <f>CONCATENATE(O4,T18,O6,U18)</f>
        <v>AT1\AAA777_BTime</v>
      </c>
      <c r="W18" s="52" t="s">
        <v>138</v>
      </c>
      <c r="X18" s="52" t="s">
        <v>141</v>
      </c>
      <c r="Y18" s="14" t="s">
        <v>155</v>
      </c>
      <c r="Z18" s="14" t="str">
        <f>CONCATENATE(O6,W18,Y18)</f>
        <v xml:space="preserve">AAA777        Время задержки срабатывания блокировки </v>
      </c>
      <c r="AA18" s="2" t="s">
        <v>2</v>
      </c>
      <c r="AB18" s="2" t="s">
        <v>1</v>
      </c>
      <c r="AC18" s="14" t="s">
        <v>1</v>
      </c>
      <c r="AD18" s="2" t="s">
        <v>2</v>
      </c>
      <c r="AE18" s="2" t="s">
        <v>2</v>
      </c>
      <c r="AF18" s="2" t="s">
        <v>1</v>
      </c>
      <c r="AG18" s="2" t="s">
        <v>8</v>
      </c>
      <c r="AH18" s="14">
        <v>0</v>
      </c>
      <c r="AI18" s="14">
        <v>200</v>
      </c>
      <c r="AJ18" s="2">
        <v>0</v>
      </c>
      <c r="AK18" s="14">
        <v>1</v>
      </c>
      <c r="AL18" s="14">
        <v>0</v>
      </c>
      <c r="AM18" s="2">
        <v>0</v>
      </c>
      <c r="AN18" s="14" t="s">
        <v>10</v>
      </c>
      <c r="AO18" s="2"/>
      <c r="AP18" s="2"/>
      <c r="AQ18" s="2"/>
      <c r="AR18" s="2"/>
      <c r="AS18" s="2"/>
      <c r="AT18" s="19" t="s">
        <v>134</v>
      </c>
      <c r="AU18" s="13" t="s">
        <v>135</v>
      </c>
      <c r="AV18" s="13" t="str">
        <f>CONCATENATE(O4,AT18,O5,AT18,AU18)</f>
        <v>AT1_PLC1_N</v>
      </c>
      <c r="AW18" s="13" t="s">
        <v>101</v>
      </c>
      <c r="AX18" s="44" t="s">
        <v>104</v>
      </c>
      <c r="AY18" s="63">
        <f>SUM(Q18,P16)</f>
        <v>7668</v>
      </c>
      <c r="AZ18" s="65" t="str">
        <f t="shared" si="3"/>
        <v>%MW7668</v>
      </c>
      <c r="BA18" s="3" t="s">
        <v>7</v>
      </c>
      <c r="BB18" s="121"/>
      <c r="BC18" s="121"/>
      <c r="BD18" s="121"/>
      <c r="BE18" s="121"/>
      <c r="BF18" s="121"/>
      <c r="BG18" s="122"/>
      <c r="BJ18" s="146" t="s">
        <v>159</v>
      </c>
      <c r="BL18" s="167" t="str">
        <f t="shared" si="1"/>
        <v>A,AT1\AAA777_BTime,AAA777        Время задержки срабатывания блокировки ,F,D,D,F,F,D,L,0,200,0,1,0,0,c,,,,,,AT1_PLC1_N,%MW7668,A,,,,,,</v>
      </c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3"/>
    </row>
    <row r="19" spans="1:80" ht="21.75" thickBot="1" x14ac:dyDescent="0.4">
      <c r="A19" s="150"/>
      <c r="B19" s="113"/>
      <c r="C19" s="114"/>
      <c r="D19" s="114"/>
      <c r="E19" s="200">
        <v>9</v>
      </c>
      <c r="F19" s="201" t="s">
        <v>107</v>
      </c>
      <c r="G19" s="52" t="str">
        <f>CONCATENATE(O6,F19)</f>
        <v>AAA777_h</v>
      </c>
      <c r="H19" s="52" t="s">
        <v>134</v>
      </c>
      <c r="I19" s="13" t="s">
        <v>135</v>
      </c>
      <c r="J19" s="25" t="str">
        <f>CONCATENATE(O4,H19,O5,H19,I19)</f>
        <v>AT1_PLC1_N</v>
      </c>
      <c r="K19" s="13" t="s">
        <v>69</v>
      </c>
      <c r="L19" s="44" t="s">
        <v>104</v>
      </c>
      <c r="M19" s="38">
        <f>SUM(Q19,P9*2)</f>
        <v>3936</v>
      </c>
      <c r="N19" s="55" t="str">
        <f t="shared" si="2"/>
        <v>%MW3936</v>
      </c>
      <c r="O19" s="48" t="s">
        <v>54</v>
      </c>
      <c r="P19" s="40">
        <f>P9</f>
        <v>168</v>
      </c>
      <c r="Q19" s="33">
        <v>3600</v>
      </c>
      <c r="R19" s="26">
        <v>4198</v>
      </c>
      <c r="S19" s="18" t="s">
        <v>7</v>
      </c>
      <c r="T19" s="13" t="s">
        <v>133</v>
      </c>
      <c r="U19" s="13" t="s">
        <v>119</v>
      </c>
      <c r="V19" s="52" t="str">
        <f>CONCATENATE(O4,T19,O6,U19)</f>
        <v>AT1\AAA777_H</v>
      </c>
      <c r="W19" s="52" t="s">
        <v>138</v>
      </c>
      <c r="X19" s="52" t="s">
        <v>141</v>
      </c>
      <c r="Y19" s="14" t="s">
        <v>147</v>
      </c>
      <c r="Z19" s="14" t="str">
        <f>CONCATENATE(O6,W19,Y19)</f>
        <v>AAA777        Верхняя предаварийная граница  H.</v>
      </c>
      <c r="AA19" s="2" t="s">
        <v>2</v>
      </c>
      <c r="AB19" s="2" t="s">
        <v>1</v>
      </c>
      <c r="AC19" s="14" t="s">
        <v>12</v>
      </c>
      <c r="AD19" s="2" t="s">
        <v>2</v>
      </c>
      <c r="AE19" s="2" t="s">
        <v>2</v>
      </c>
      <c r="AF19" s="2" t="s">
        <v>1</v>
      </c>
      <c r="AG19" s="2" t="s">
        <v>8</v>
      </c>
      <c r="AH19" s="9" t="str">
        <f>AA6</f>
        <v>0</v>
      </c>
      <c r="AI19" s="9" t="str">
        <f>AA5</f>
        <v>100</v>
      </c>
      <c r="AJ19" s="2">
        <v>0</v>
      </c>
      <c r="AK19" s="14">
        <v>1</v>
      </c>
      <c r="AL19" s="14">
        <v>0</v>
      </c>
      <c r="AM19" s="2">
        <v>0</v>
      </c>
      <c r="AN19" s="9" t="str">
        <f>AA4</f>
        <v>м³</v>
      </c>
      <c r="AO19" s="2"/>
      <c r="AP19" s="2"/>
      <c r="AQ19" s="2"/>
      <c r="AR19" s="2"/>
      <c r="AS19" s="2"/>
      <c r="AT19" s="52" t="s">
        <v>134</v>
      </c>
      <c r="AU19" s="13" t="s">
        <v>135</v>
      </c>
      <c r="AV19" s="13" t="str">
        <f>CONCATENATE(O4,AT19,O5,AT19,AU19)</f>
        <v>AT1_PLC1_N</v>
      </c>
      <c r="AW19" s="13" t="s">
        <v>80</v>
      </c>
      <c r="AX19" s="44" t="s">
        <v>103</v>
      </c>
      <c r="AY19" s="63">
        <f>SUM(Q19,P9*2)</f>
        <v>3936</v>
      </c>
      <c r="AZ19" s="65" t="str">
        <f t="shared" si="3"/>
        <v>%MF3936</v>
      </c>
      <c r="BA19" s="3" t="s">
        <v>7</v>
      </c>
      <c r="BB19" s="121"/>
      <c r="BC19" s="121"/>
      <c r="BD19" s="121"/>
      <c r="BE19" s="121"/>
      <c r="BF19" s="121"/>
      <c r="BG19" s="122"/>
      <c r="BJ19" s="146" t="s">
        <v>159</v>
      </c>
      <c r="BL19" s="167" t="str">
        <f t="shared" si="1"/>
        <v>A,AT1\AAA777_H,AAA777        Верхняя предаварийная граница  H.,F,D,C,F,F,D,L,0,100,0,1,0,0,м³,,,,,,AT1_PLC1_N,%MF3936,A,,,,,,</v>
      </c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3"/>
    </row>
    <row r="20" spans="1:80" ht="21.75" thickBot="1" x14ac:dyDescent="0.4">
      <c r="A20" s="150"/>
      <c r="B20" s="113"/>
      <c r="C20" s="114"/>
      <c r="D20" s="114"/>
      <c r="E20" s="200">
        <v>10</v>
      </c>
      <c r="F20" s="201" t="s">
        <v>108</v>
      </c>
      <c r="G20" s="52" t="str">
        <f>CONCATENATE(O6,F20)</f>
        <v>AAA777_hh</v>
      </c>
      <c r="H20" s="52" t="s">
        <v>134</v>
      </c>
      <c r="I20" s="13" t="s">
        <v>135</v>
      </c>
      <c r="J20" s="25" t="str">
        <f>CONCATENATE(O4,H20,O5,H20,I20)</f>
        <v>AT1_PLC1_N</v>
      </c>
      <c r="K20" s="13" t="s">
        <v>74</v>
      </c>
      <c r="L20" s="44" t="s">
        <v>104</v>
      </c>
      <c r="M20" s="38">
        <f>SUM(Q20,P9*2)</f>
        <v>8336</v>
      </c>
      <c r="N20" s="55" t="str">
        <f t="shared" si="2"/>
        <v>%MW8336</v>
      </c>
      <c r="O20" s="48" t="s">
        <v>55</v>
      </c>
      <c r="P20" s="40">
        <f>P9</f>
        <v>168</v>
      </c>
      <c r="Q20" s="33">
        <v>8000</v>
      </c>
      <c r="R20" s="26">
        <v>8599</v>
      </c>
      <c r="S20" s="18" t="s">
        <v>7</v>
      </c>
      <c r="T20" s="13" t="s">
        <v>133</v>
      </c>
      <c r="U20" s="13" t="s">
        <v>120</v>
      </c>
      <c r="V20" s="52" t="str">
        <f>CONCATENATE(O4,T20,O6,U20)</f>
        <v>AT1\AAA777_HH</v>
      </c>
      <c r="W20" s="52" t="s">
        <v>138</v>
      </c>
      <c r="X20" s="52" t="s">
        <v>141</v>
      </c>
      <c r="Y20" s="14" t="s">
        <v>148</v>
      </c>
      <c r="Z20" s="14" t="str">
        <f>CONCATENATE(O6,W20,Y20)</f>
        <v>AAA777        Верхняя аварийная граница HH.</v>
      </c>
      <c r="AA20" s="2" t="s">
        <v>2</v>
      </c>
      <c r="AB20" s="2" t="s">
        <v>1</v>
      </c>
      <c r="AC20" s="14" t="s">
        <v>12</v>
      </c>
      <c r="AD20" s="2" t="s">
        <v>2</v>
      </c>
      <c r="AE20" s="2" t="s">
        <v>2</v>
      </c>
      <c r="AF20" s="2" t="s">
        <v>1</v>
      </c>
      <c r="AG20" s="2" t="s">
        <v>8</v>
      </c>
      <c r="AH20" s="9" t="str">
        <f>AA6</f>
        <v>0</v>
      </c>
      <c r="AI20" s="9" t="str">
        <f>AA5</f>
        <v>100</v>
      </c>
      <c r="AJ20" s="2">
        <v>0</v>
      </c>
      <c r="AK20" s="14">
        <v>1</v>
      </c>
      <c r="AL20" s="14">
        <v>0</v>
      </c>
      <c r="AM20" s="2">
        <v>0</v>
      </c>
      <c r="AN20" s="9" t="str">
        <f>AA4</f>
        <v>м³</v>
      </c>
      <c r="AO20" s="2"/>
      <c r="AP20" s="2"/>
      <c r="AQ20" s="2"/>
      <c r="AR20" s="2"/>
      <c r="AS20" s="2"/>
      <c r="AT20" s="52" t="s">
        <v>134</v>
      </c>
      <c r="AU20" s="13" t="s">
        <v>135</v>
      </c>
      <c r="AV20" s="13" t="str">
        <f>CONCATENATE(O4,AT20,O5,AT20,AU20)</f>
        <v>AT1_PLC1_N</v>
      </c>
      <c r="AW20" s="13" t="s">
        <v>81</v>
      </c>
      <c r="AX20" s="44" t="s">
        <v>103</v>
      </c>
      <c r="AY20" s="63">
        <f>SUM(Q20,P9*2)</f>
        <v>8336</v>
      </c>
      <c r="AZ20" s="65" t="str">
        <f t="shared" si="3"/>
        <v>%MF8336</v>
      </c>
      <c r="BA20" s="3" t="s">
        <v>7</v>
      </c>
      <c r="BB20" s="121"/>
      <c r="BC20" s="121"/>
      <c r="BD20" s="121"/>
      <c r="BE20" s="121"/>
      <c r="BF20" s="121"/>
      <c r="BG20" s="122"/>
      <c r="BJ20" s="146" t="s">
        <v>159</v>
      </c>
      <c r="BL20" s="167" t="str">
        <f t="shared" si="1"/>
        <v>A,AT1\AAA777_HH,AAA777        Верхняя аварийная граница HH.,F,D,C,F,F,D,L,0,100,0,1,0,0,м³,,,,,,AT1_PLC1_N,%MF8336,A,,,,,,</v>
      </c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3"/>
    </row>
    <row r="21" spans="1:80" ht="21.75" thickBot="1" x14ac:dyDescent="0.4">
      <c r="A21" s="150"/>
      <c r="B21" s="113"/>
      <c r="C21" s="114"/>
      <c r="D21" s="114"/>
      <c r="E21" s="200">
        <v>11</v>
      </c>
      <c r="F21" s="201" t="s">
        <v>121</v>
      </c>
      <c r="G21" s="52" t="str">
        <f>CONCATENATE(O6,F21)</f>
        <v>AAA777_imit</v>
      </c>
      <c r="H21" s="115" t="s">
        <v>134</v>
      </c>
      <c r="I21" s="13" t="s">
        <v>1</v>
      </c>
      <c r="J21" s="25" t="str">
        <f>CONCATENATE(O4,H21,O5,H21,I21)</f>
        <v>AT1_PLC1_D</v>
      </c>
      <c r="K21" s="13" t="s">
        <v>82</v>
      </c>
      <c r="L21" s="44" t="s">
        <v>102</v>
      </c>
      <c r="M21" s="38">
        <f>SUM(Q21,P9)</f>
        <v>868</v>
      </c>
      <c r="N21" s="55" t="str">
        <f t="shared" si="2"/>
        <v>%M868</v>
      </c>
      <c r="O21" s="48" t="s">
        <v>56</v>
      </c>
      <c r="P21" s="40">
        <f>P9</f>
        <v>168</v>
      </c>
      <c r="Q21" s="33">
        <v>700</v>
      </c>
      <c r="R21" s="26">
        <v>999</v>
      </c>
      <c r="S21" s="18" t="s">
        <v>1</v>
      </c>
      <c r="T21" s="13" t="s">
        <v>133</v>
      </c>
      <c r="U21" s="13" t="s">
        <v>121</v>
      </c>
      <c r="V21" s="52" t="str">
        <f>CONCATENATE(O4,T21,O6,U21)</f>
        <v>AT1\AAA777_imit</v>
      </c>
      <c r="W21" s="52" t="s">
        <v>138</v>
      </c>
      <c r="X21" s="52" t="s">
        <v>141</v>
      </c>
      <c r="Y21" s="14" t="s">
        <v>13</v>
      </c>
      <c r="Z21" s="14" t="str">
        <f>CONCATENATE(O6,W21,Y21)</f>
        <v>AAA777        Имитация  .</v>
      </c>
      <c r="AA21" s="2" t="s">
        <v>2</v>
      </c>
      <c r="AB21" s="2" t="s">
        <v>1</v>
      </c>
      <c r="AC21" s="14" t="s">
        <v>1</v>
      </c>
      <c r="AD21" s="2" t="s">
        <v>2</v>
      </c>
      <c r="AE21" s="2" t="s">
        <v>2</v>
      </c>
      <c r="AF21" s="2"/>
      <c r="AG21" s="2"/>
      <c r="AH21" s="14"/>
      <c r="AI21" s="14"/>
      <c r="AJ21" s="2"/>
      <c r="AK21" s="14"/>
      <c r="AL21" s="14"/>
      <c r="AM21" s="2"/>
      <c r="AN21" s="14"/>
      <c r="AO21" s="2" t="s">
        <v>5</v>
      </c>
      <c r="AP21" s="2" t="s">
        <v>6</v>
      </c>
      <c r="AQ21" s="2" t="s">
        <v>5</v>
      </c>
      <c r="AR21" s="2"/>
      <c r="AS21" s="2"/>
      <c r="AT21" s="19" t="s">
        <v>134</v>
      </c>
      <c r="AU21" s="13" t="s">
        <v>1</v>
      </c>
      <c r="AV21" s="13" t="str">
        <f>CONCATENATE(O4,AT21,O5,AT21,AU21)</f>
        <v>AT1_PLC1_D</v>
      </c>
      <c r="AW21" s="13" t="s">
        <v>82</v>
      </c>
      <c r="AX21" s="44" t="s">
        <v>102</v>
      </c>
      <c r="AY21" s="63">
        <f>SUM(Q21,P9)</f>
        <v>868</v>
      </c>
      <c r="AZ21" s="65" t="str">
        <f t="shared" si="3"/>
        <v>%M868</v>
      </c>
      <c r="BA21" s="3" t="s">
        <v>7</v>
      </c>
      <c r="BB21" s="121"/>
      <c r="BC21" s="121"/>
      <c r="BD21" s="121"/>
      <c r="BE21" s="121"/>
      <c r="BF21" s="121"/>
      <c r="BG21" s="122"/>
      <c r="BJ21" s="146" t="s">
        <v>159</v>
      </c>
      <c r="BL21" s="167" t="str">
        <f t="shared" si="1"/>
        <v>D,AT1\AAA777_imit,AAA777        Имитация  .,F,D,D,F,F,,,,,,,,,,Off,On,Off,,,AT1_PLC1_D,%M868,A,,,,,,</v>
      </c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3"/>
    </row>
    <row r="22" spans="1:80" ht="21.75" thickBot="1" x14ac:dyDescent="0.4">
      <c r="A22" s="150"/>
      <c r="B22" s="113"/>
      <c r="C22" s="114"/>
      <c r="D22" s="114"/>
      <c r="E22" s="200">
        <v>12</v>
      </c>
      <c r="F22" s="201" t="s">
        <v>109</v>
      </c>
      <c r="G22" s="52" t="str">
        <f>CONCATENATE(O6,F22)</f>
        <v>AAA777_L</v>
      </c>
      <c r="H22" s="52" t="s">
        <v>134</v>
      </c>
      <c r="I22" s="13" t="s">
        <v>135</v>
      </c>
      <c r="J22" s="25" t="str">
        <f>CONCATENATE(O4,H22,O5,H22,I22)</f>
        <v>AT1_PLC1_N</v>
      </c>
      <c r="K22" s="13" t="s">
        <v>70</v>
      </c>
      <c r="L22" s="44" t="s">
        <v>104</v>
      </c>
      <c r="M22" s="38">
        <f>SUM(Q22,P9*2)</f>
        <v>4536</v>
      </c>
      <c r="N22" s="55" t="str">
        <f t="shared" si="2"/>
        <v>%MW4536</v>
      </c>
      <c r="O22" s="48" t="s">
        <v>57</v>
      </c>
      <c r="P22" s="40">
        <f>P9</f>
        <v>168</v>
      </c>
      <c r="Q22" s="33">
        <v>4200</v>
      </c>
      <c r="R22" s="26">
        <v>4798</v>
      </c>
      <c r="S22" s="18" t="s">
        <v>7</v>
      </c>
      <c r="T22" s="13" t="s">
        <v>133</v>
      </c>
      <c r="U22" s="13" t="s">
        <v>109</v>
      </c>
      <c r="V22" s="52" t="str">
        <f>CONCATENATE(O4,T22,O6,U22)</f>
        <v>AT1\AAA777_L</v>
      </c>
      <c r="W22" s="52" t="s">
        <v>138</v>
      </c>
      <c r="X22" s="52" t="s">
        <v>141</v>
      </c>
      <c r="Y22" s="14" t="s">
        <v>149</v>
      </c>
      <c r="Z22" s="14" t="str">
        <f>CONCATENATE(O6,W22,Y22)</f>
        <v>AAA777        Нижхняя предаварийная граница L.</v>
      </c>
      <c r="AA22" s="2" t="s">
        <v>2</v>
      </c>
      <c r="AB22" s="2" t="s">
        <v>1</v>
      </c>
      <c r="AC22" s="14" t="s">
        <v>12</v>
      </c>
      <c r="AD22" s="2" t="s">
        <v>2</v>
      </c>
      <c r="AE22" s="2" t="s">
        <v>2</v>
      </c>
      <c r="AF22" s="2" t="s">
        <v>1</v>
      </c>
      <c r="AG22" s="2" t="s">
        <v>8</v>
      </c>
      <c r="AH22" s="9" t="str">
        <f>AA6</f>
        <v>0</v>
      </c>
      <c r="AI22" s="9" t="str">
        <f>AA5</f>
        <v>100</v>
      </c>
      <c r="AJ22" s="2">
        <v>0</v>
      </c>
      <c r="AK22" s="14">
        <v>1</v>
      </c>
      <c r="AL22" s="14">
        <v>0</v>
      </c>
      <c r="AM22" s="2">
        <v>0</v>
      </c>
      <c r="AN22" s="9" t="str">
        <f>AA4</f>
        <v>м³</v>
      </c>
      <c r="AO22" s="2"/>
      <c r="AP22" s="2"/>
      <c r="AQ22" s="2"/>
      <c r="AR22" s="2"/>
      <c r="AS22" s="2"/>
      <c r="AT22" s="52" t="s">
        <v>134</v>
      </c>
      <c r="AU22" s="13" t="s">
        <v>135</v>
      </c>
      <c r="AV22" s="13" t="str">
        <f>CONCATENATE(O4,AT22,O5,AT22,AU22)</f>
        <v>AT1_PLC1_N</v>
      </c>
      <c r="AW22" s="13" t="s">
        <v>83</v>
      </c>
      <c r="AX22" s="44" t="s">
        <v>103</v>
      </c>
      <c r="AY22" s="63">
        <f>SUM(Q22,P9*2)</f>
        <v>4536</v>
      </c>
      <c r="AZ22" s="65" t="str">
        <f t="shared" si="3"/>
        <v>%MF4536</v>
      </c>
      <c r="BA22" s="3" t="s">
        <v>7</v>
      </c>
      <c r="BB22" s="121"/>
      <c r="BC22" s="121"/>
      <c r="BD22" s="121"/>
      <c r="BE22" s="121"/>
      <c r="BF22" s="121"/>
      <c r="BG22" s="122"/>
      <c r="BJ22" s="146" t="s">
        <v>159</v>
      </c>
      <c r="BL22" s="167" t="str">
        <f t="shared" si="1"/>
        <v>A,AT1\AAA777_L,AAA777        Нижхняя предаварийная граница L.,F,D,C,F,F,D,L,0,100,0,1,0,0,м³,,,,,,AT1_PLC1_N,%MF4536,A,,,,,,</v>
      </c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3"/>
    </row>
    <row r="23" spans="1:80" ht="21.75" thickBot="1" x14ac:dyDescent="0.4">
      <c r="A23" s="150"/>
      <c r="B23" s="113"/>
      <c r="C23" s="114"/>
      <c r="D23" s="114"/>
      <c r="E23" s="200">
        <v>13</v>
      </c>
      <c r="F23" s="201" t="s">
        <v>110</v>
      </c>
      <c r="G23" s="52" t="str">
        <f>CONCATENATE(O6,F23)</f>
        <v>AAA777_LL</v>
      </c>
      <c r="H23" s="52" t="s">
        <v>134</v>
      </c>
      <c r="I23" s="13" t="s">
        <v>135</v>
      </c>
      <c r="J23" s="25" t="str">
        <f>CONCATENATE(O4,H23,O5,H23,I23)</f>
        <v>AT1_PLC1_N</v>
      </c>
      <c r="K23" s="13" t="s">
        <v>71</v>
      </c>
      <c r="L23" s="44" t="s">
        <v>104</v>
      </c>
      <c r="M23" s="38">
        <f>SUM(Q23,P9*2)</f>
        <v>5136</v>
      </c>
      <c r="N23" s="55" t="str">
        <f t="shared" si="2"/>
        <v>%MW5136</v>
      </c>
      <c r="O23" s="48" t="s">
        <v>58</v>
      </c>
      <c r="P23" s="40">
        <f>P9</f>
        <v>168</v>
      </c>
      <c r="Q23" s="33">
        <v>4800</v>
      </c>
      <c r="R23" s="26">
        <v>5398</v>
      </c>
      <c r="S23" s="18" t="s">
        <v>7</v>
      </c>
      <c r="T23" s="13" t="s">
        <v>133</v>
      </c>
      <c r="U23" s="13" t="s">
        <v>110</v>
      </c>
      <c r="V23" s="52" t="str">
        <f>CONCATENATE(O4,T23,O6,U23)</f>
        <v>AT1\AAA777_LL</v>
      </c>
      <c r="W23" s="52" t="s">
        <v>138</v>
      </c>
      <c r="X23" s="52" t="s">
        <v>141</v>
      </c>
      <c r="Y23" s="14" t="s">
        <v>150</v>
      </c>
      <c r="Z23" s="14" t="str">
        <f>CONCATENATE(O6,W23,Y23)</f>
        <v>AAA777        Нижняя аварийная граница LL.</v>
      </c>
      <c r="AA23" s="2" t="s">
        <v>2</v>
      </c>
      <c r="AB23" s="2" t="s">
        <v>1</v>
      </c>
      <c r="AC23" s="14" t="s">
        <v>12</v>
      </c>
      <c r="AD23" s="2" t="s">
        <v>2</v>
      </c>
      <c r="AE23" s="2" t="s">
        <v>2</v>
      </c>
      <c r="AF23" s="2" t="s">
        <v>1</v>
      </c>
      <c r="AG23" s="2" t="s">
        <v>8</v>
      </c>
      <c r="AH23" s="9" t="str">
        <f>AA6</f>
        <v>0</v>
      </c>
      <c r="AI23" s="9" t="str">
        <f>AA5</f>
        <v>100</v>
      </c>
      <c r="AJ23" s="2">
        <v>0</v>
      </c>
      <c r="AK23" s="14">
        <v>1</v>
      </c>
      <c r="AL23" s="14">
        <v>0</v>
      </c>
      <c r="AM23" s="2">
        <v>0</v>
      </c>
      <c r="AN23" s="9" t="str">
        <f>AA4</f>
        <v>м³</v>
      </c>
      <c r="AO23" s="2"/>
      <c r="AP23" s="2"/>
      <c r="AQ23" s="2"/>
      <c r="AR23" s="2"/>
      <c r="AS23" s="2"/>
      <c r="AT23" s="52" t="s">
        <v>134</v>
      </c>
      <c r="AU23" s="13" t="s">
        <v>135</v>
      </c>
      <c r="AV23" s="13" t="str">
        <f>CONCATENATE(O4,AT23,O5,AT23,AU23)</f>
        <v>AT1_PLC1_N</v>
      </c>
      <c r="AW23" s="13" t="s">
        <v>84</v>
      </c>
      <c r="AX23" s="44" t="s">
        <v>103</v>
      </c>
      <c r="AY23" s="63">
        <f>SUM(Q23,P9*2)</f>
        <v>5136</v>
      </c>
      <c r="AZ23" s="65" t="str">
        <f t="shared" si="3"/>
        <v>%MF5136</v>
      </c>
      <c r="BA23" s="3" t="s">
        <v>7</v>
      </c>
      <c r="BB23" s="121"/>
      <c r="BC23" s="121"/>
      <c r="BD23" s="121"/>
      <c r="BE23" s="121"/>
      <c r="BF23" s="121"/>
      <c r="BG23" s="122"/>
      <c r="BJ23" s="146" t="s">
        <v>159</v>
      </c>
      <c r="BL23" s="167" t="str">
        <f t="shared" si="1"/>
        <v>A,AT1\AAA777_LL,AAA777        Нижняя аварийная граница LL.,F,D,C,F,F,D,L,0,100,0,1,0,0,м³,,,,,,AT1_PLC1_N,%MF5136,A,,,,,,</v>
      </c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3"/>
    </row>
    <row r="24" spans="1:80" ht="21.75" thickBot="1" x14ac:dyDescent="0.4">
      <c r="A24" s="150"/>
      <c r="B24" s="113"/>
      <c r="C24" s="114"/>
      <c r="D24" s="114"/>
      <c r="E24" s="200">
        <v>14</v>
      </c>
      <c r="F24" s="201" t="s">
        <v>111</v>
      </c>
      <c r="G24" s="52" t="str">
        <f>CONCATENATE(O6,F24)</f>
        <v>AAA777_sh</v>
      </c>
      <c r="H24" s="52" t="s">
        <v>134</v>
      </c>
      <c r="I24" s="13" t="s">
        <v>135</v>
      </c>
      <c r="J24" s="25" t="str">
        <f>CONCATENATE(O4,H24,O5,H24,I24)</f>
        <v>AT1_PLC1_N</v>
      </c>
      <c r="K24" s="13" t="s">
        <v>72</v>
      </c>
      <c r="L24" s="44" t="s">
        <v>104</v>
      </c>
      <c r="M24" s="38">
        <f>SUM(Q24,P9*2)</f>
        <v>5736</v>
      </c>
      <c r="N24" s="55" t="str">
        <f t="shared" si="2"/>
        <v>%MW5736</v>
      </c>
      <c r="O24" s="48" t="s">
        <v>59</v>
      </c>
      <c r="P24" s="40">
        <f>P9</f>
        <v>168</v>
      </c>
      <c r="Q24" s="33">
        <v>5400</v>
      </c>
      <c r="R24" s="26">
        <v>5998</v>
      </c>
      <c r="S24" s="18" t="s">
        <v>7</v>
      </c>
      <c r="T24" s="13" t="s">
        <v>133</v>
      </c>
      <c r="U24" s="13" t="s">
        <v>122</v>
      </c>
      <c r="V24" s="52" t="str">
        <f>CONCATENATE(O4,T24,O6,U24)</f>
        <v>AT1\AAA777_SH</v>
      </c>
      <c r="W24" s="52" t="s">
        <v>138</v>
      </c>
      <c r="X24" s="52" t="s">
        <v>141</v>
      </c>
      <c r="Y24" s="14" t="s">
        <v>151</v>
      </c>
      <c r="Z24" s="14" t="str">
        <f>CONCATENATE(O6,W24,Y24)</f>
        <v>AAA777        верх шкалы.</v>
      </c>
      <c r="AA24" s="2" t="s">
        <v>2</v>
      </c>
      <c r="AB24" s="2" t="s">
        <v>1</v>
      </c>
      <c r="AC24" s="14" t="s">
        <v>14</v>
      </c>
      <c r="AD24" s="2" t="s">
        <v>2</v>
      </c>
      <c r="AE24" s="2" t="s">
        <v>2</v>
      </c>
      <c r="AF24" s="2" t="s">
        <v>1</v>
      </c>
      <c r="AG24" s="2" t="s">
        <v>8</v>
      </c>
      <c r="AH24" s="9" t="str">
        <f>AA6</f>
        <v>0</v>
      </c>
      <c r="AI24" s="9" t="str">
        <f>AA5</f>
        <v>100</v>
      </c>
      <c r="AJ24" s="2">
        <v>0</v>
      </c>
      <c r="AK24" s="14">
        <v>1</v>
      </c>
      <c r="AL24" s="14">
        <v>0</v>
      </c>
      <c r="AM24" s="2">
        <v>0</v>
      </c>
      <c r="AN24" s="9" t="str">
        <f>AA4</f>
        <v>м³</v>
      </c>
      <c r="AO24" s="2"/>
      <c r="AP24" s="2"/>
      <c r="AQ24" s="2"/>
      <c r="AR24" s="2"/>
      <c r="AS24" s="2"/>
      <c r="AT24" s="52" t="s">
        <v>134</v>
      </c>
      <c r="AU24" s="13" t="s">
        <v>135</v>
      </c>
      <c r="AV24" s="13" t="str">
        <f>CONCATENATE(O4,AT24,O5,AT24,AU24)</f>
        <v>AT1_PLC1_N</v>
      </c>
      <c r="AW24" s="13" t="s">
        <v>85</v>
      </c>
      <c r="AX24" s="44" t="s">
        <v>103</v>
      </c>
      <c r="AY24" s="63">
        <f>SUM(Q24,P9*2)</f>
        <v>5736</v>
      </c>
      <c r="AZ24" s="65" t="str">
        <f t="shared" si="3"/>
        <v>%MF5736</v>
      </c>
      <c r="BA24" s="3" t="s">
        <v>7</v>
      </c>
      <c r="BB24" s="121"/>
      <c r="BC24" s="121"/>
      <c r="BD24" s="121"/>
      <c r="BE24" s="121"/>
      <c r="BF24" s="121"/>
      <c r="BG24" s="122"/>
      <c r="BJ24" s="146" t="s">
        <v>159</v>
      </c>
      <c r="BL24" s="167" t="str">
        <f t="shared" si="1"/>
        <v>A,AT1\AAA777_SH,AAA777        верх шкалы.,F,D,P,F,F,D,L,0,100,0,1,0,0,м³,,,,,,AT1_PLC1_N,%MF5736,A,,,,,,</v>
      </c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3"/>
    </row>
    <row r="25" spans="1:80" ht="21.75" thickBot="1" x14ac:dyDescent="0.4">
      <c r="A25" s="150"/>
      <c r="B25" s="113"/>
      <c r="C25" s="114"/>
      <c r="D25" s="114"/>
      <c r="E25" s="200">
        <v>15</v>
      </c>
      <c r="F25" s="201" t="s">
        <v>112</v>
      </c>
      <c r="G25" s="52" t="str">
        <f>CONCATENATE(O6,F25)</f>
        <v>AAA777_sL</v>
      </c>
      <c r="H25" s="52" t="s">
        <v>134</v>
      </c>
      <c r="I25" s="13" t="s">
        <v>135</v>
      </c>
      <c r="J25" s="25" t="str">
        <f>CONCATENATE(O4,H25,O5,H25,I25)</f>
        <v>AT1_PLC1_N</v>
      </c>
      <c r="K25" s="13" t="s">
        <v>73</v>
      </c>
      <c r="L25" s="44" t="s">
        <v>104</v>
      </c>
      <c r="M25" s="38">
        <f>SUM(Q25,P9*2)</f>
        <v>6336</v>
      </c>
      <c r="N25" s="55" t="str">
        <f t="shared" si="2"/>
        <v>%MW6336</v>
      </c>
      <c r="O25" s="48" t="s">
        <v>60</v>
      </c>
      <c r="P25" s="41">
        <f>P9</f>
        <v>168</v>
      </c>
      <c r="Q25" s="33">
        <v>6000</v>
      </c>
      <c r="R25" s="26">
        <v>6598</v>
      </c>
      <c r="S25" s="18" t="s">
        <v>7</v>
      </c>
      <c r="T25" s="13" t="s">
        <v>133</v>
      </c>
      <c r="U25" s="13" t="s">
        <v>123</v>
      </c>
      <c r="V25" s="52" t="str">
        <f>CONCATENATE(O4,T25,O6,U25)</f>
        <v>AT1\AAA777_SL</v>
      </c>
      <c r="W25" s="52" t="s">
        <v>138</v>
      </c>
      <c r="X25" s="52" t="s">
        <v>141</v>
      </c>
      <c r="Y25" s="14" t="s">
        <v>152</v>
      </c>
      <c r="Z25" s="14" t="str">
        <f>CONCATENATE(O6,W25,Y25)</f>
        <v>AAA777        низ шкалы.</v>
      </c>
      <c r="AA25" s="2" t="s">
        <v>2</v>
      </c>
      <c r="AB25" s="2" t="s">
        <v>1</v>
      </c>
      <c r="AC25" s="14" t="s">
        <v>14</v>
      </c>
      <c r="AD25" s="2" t="s">
        <v>2</v>
      </c>
      <c r="AE25" s="2" t="s">
        <v>2</v>
      </c>
      <c r="AF25" s="2" t="s">
        <v>1</v>
      </c>
      <c r="AG25" s="2" t="s">
        <v>8</v>
      </c>
      <c r="AH25" s="9" t="str">
        <f>AA6</f>
        <v>0</v>
      </c>
      <c r="AI25" s="9" t="str">
        <f>AA5</f>
        <v>100</v>
      </c>
      <c r="AJ25" s="2">
        <v>0</v>
      </c>
      <c r="AK25" s="14">
        <v>1</v>
      </c>
      <c r="AL25" s="14">
        <v>0</v>
      </c>
      <c r="AM25" s="2">
        <v>0</v>
      </c>
      <c r="AN25" s="9" t="str">
        <f>AA4</f>
        <v>м³</v>
      </c>
      <c r="AO25" s="2"/>
      <c r="AP25" s="2"/>
      <c r="AQ25" s="2"/>
      <c r="AR25" s="2"/>
      <c r="AS25" s="2"/>
      <c r="AT25" s="52" t="s">
        <v>134</v>
      </c>
      <c r="AU25" s="13" t="s">
        <v>135</v>
      </c>
      <c r="AV25" s="13" t="str">
        <f>CONCATENATE(O4,AT25,O5,AT25,AU25)</f>
        <v>AT1_PLC1_N</v>
      </c>
      <c r="AW25" s="13" t="s">
        <v>86</v>
      </c>
      <c r="AX25" s="44" t="s">
        <v>103</v>
      </c>
      <c r="AY25" s="63">
        <f>SUM(Q25,P9*2)</f>
        <v>6336</v>
      </c>
      <c r="AZ25" s="65" t="str">
        <f t="shared" si="3"/>
        <v>%MF6336</v>
      </c>
      <c r="BA25" s="3" t="s">
        <v>7</v>
      </c>
      <c r="BB25" s="121"/>
      <c r="BC25" s="121"/>
      <c r="BD25" s="121"/>
      <c r="BE25" s="121"/>
      <c r="BF25" s="121"/>
      <c r="BG25" s="122"/>
      <c r="BJ25" s="146" t="s">
        <v>159</v>
      </c>
      <c r="BL25" s="167" t="str">
        <f t="shared" si="1"/>
        <v>A,AT1\AAA777_SL,AAA777        низ шкалы.,F,D,P,F,F,D,L,0,100,0,1,0,0,м³,,,,,,AT1_PLC1_N,%MF6336,A,,,,,,</v>
      </c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3"/>
    </row>
    <row r="26" spans="1:80" ht="50.25" customHeight="1" thickBot="1" x14ac:dyDescent="0.35">
      <c r="A26" s="151"/>
      <c r="B26" s="113"/>
      <c r="C26" s="114"/>
      <c r="D26" s="114"/>
      <c r="E26" s="200">
        <v>16</v>
      </c>
      <c r="F26" s="208" t="s">
        <v>124</v>
      </c>
      <c r="G26" s="52" t="str">
        <f>CONCATENATE(O6,F26)</f>
        <v>AAA777_WH</v>
      </c>
      <c r="H26" s="115" t="s">
        <v>134</v>
      </c>
      <c r="I26" s="37" t="s">
        <v>135</v>
      </c>
      <c r="J26" s="60" t="str">
        <f>CONCATENATE(O4,H26,O5,H26,I26)</f>
        <v>AT1_PLC1_N</v>
      </c>
      <c r="K26" s="37" t="s">
        <v>91</v>
      </c>
      <c r="L26" s="45" t="s">
        <v>104</v>
      </c>
      <c r="M26" s="39">
        <f>SUM(Q26,P9*2)</f>
        <v>20336</v>
      </c>
      <c r="N26" s="56" t="str">
        <f t="shared" si="2"/>
        <v>%MW20336</v>
      </c>
      <c r="O26" s="49" t="s">
        <v>93</v>
      </c>
      <c r="P26" s="42">
        <f>P9</f>
        <v>168</v>
      </c>
      <c r="Q26" s="34">
        <v>20000</v>
      </c>
      <c r="R26" s="29">
        <v>20598</v>
      </c>
      <c r="S26" s="18" t="s">
        <v>7</v>
      </c>
      <c r="T26" s="13" t="s">
        <v>133</v>
      </c>
      <c r="U26" s="13" t="s">
        <v>124</v>
      </c>
      <c r="V26" s="53" t="str">
        <f>CONCATENATE(O4,T26,O6,U26)</f>
        <v>AT1\AAA777_WH</v>
      </c>
      <c r="W26" s="52" t="s">
        <v>138</v>
      </c>
      <c r="X26" s="52" t="s">
        <v>141</v>
      </c>
      <c r="Y26" s="54" t="s">
        <v>153</v>
      </c>
      <c r="Z26" s="54" t="str">
        <f>CONCATENATE(O6,W26,Y26)</f>
        <v>AAA777        Верхняя граница норм. технол. Реж. (НТР).</v>
      </c>
      <c r="AA26" s="2" t="s">
        <v>2</v>
      </c>
      <c r="AB26" s="2" t="s">
        <v>1</v>
      </c>
      <c r="AC26" s="14" t="s">
        <v>12</v>
      </c>
      <c r="AD26" s="2" t="s">
        <v>2</v>
      </c>
      <c r="AE26" s="2" t="s">
        <v>2</v>
      </c>
      <c r="AF26" s="2" t="s">
        <v>1</v>
      </c>
      <c r="AG26" s="2" t="s">
        <v>8</v>
      </c>
      <c r="AH26" s="9" t="str">
        <f>AA6</f>
        <v>0</v>
      </c>
      <c r="AI26" s="9" t="str">
        <f>AA5</f>
        <v>100</v>
      </c>
      <c r="AJ26" s="2">
        <v>0</v>
      </c>
      <c r="AK26" s="14">
        <v>1</v>
      </c>
      <c r="AL26" s="14">
        <v>0</v>
      </c>
      <c r="AM26" s="2">
        <v>0</v>
      </c>
      <c r="AN26" s="9" t="str">
        <f>AA4</f>
        <v>м³</v>
      </c>
      <c r="AO26" s="2"/>
      <c r="AP26" s="2"/>
      <c r="AQ26" s="2"/>
      <c r="AR26" s="2"/>
      <c r="AS26" s="2"/>
      <c r="AT26" s="19" t="s">
        <v>134</v>
      </c>
      <c r="AU26" s="37" t="s">
        <v>135</v>
      </c>
      <c r="AV26" s="37" t="str">
        <f>CONCATENATE(O4,AT26,O5,AT26,AU26)</f>
        <v>AT1_PLC1_N</v>
      </c>
      <c r="AW26" s="37" t="s">
        <v>87</v>
      </c>
      <c r="AX26" s="45" t="s">
        <v>103</v>
      </c>
      <c r="AY26" s="64">
        <f>SUM(Q26,P9*2)</f>
        <v>20336</v>
      </c>
      <c r="AZ26" s="66" t="str">
        <f t="shared" si="3"/>
        <v>%MF20336</v>
      </c>
      <c r="BA26" s="3" t="s">
        <v>7</v>
      </c>
      <c r="BB26" s="121"/>
      <c r="BC26" s="121"/>
      <c r="BD26" s="121"/>
      <c r="BE26" s="121"/>
      <c r="BF26" s="121"/>
      <c r="BG26" s="122"/>
      <c r="BJ26" s="146" t="s">
        <v>159</v>
      </c>
      <c r="BL26" s="170" t="str">
        <f t="shared" si="1"/>
        <v>A,AT1\AAA777_WH,AAA777        Верхняя граница норм. технол. Реж. (НТР).,F,D,C,F,F,D,L,0,100,0,1,0,0,м³,,,,,,AT1_PLC1_N,%MF20336,A,,,,,,</v>
      </c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3"/>
    </row>
    <row r="27" spans="1:80" ht="60" customHeight="1" thickBot="1" x14ac:dyDescent="0.35">
      <c r="A27" s="151"/>
      <c r="B27" s="116"/>
      <c r="C27" s="117"/>
      <c r="D27" s="117"/>
      <c r="E27" s="200">
        <v>17</v>
      </c>
      <c r="F27" s="209" t="s">
        <v>125</v>
      </c>
      <c r="G27" s="52" t="str">
        <f>CONCATENATE(O6,F27)</f>
        <v>AAA777_WL</v>
      </c>
      <c r="H27" s="118" t="s">
        <v>134</v>
      </c>
      <c r="I27" s="103" t="s">
        <v>135</v>
      </c>
      <c r="J27" s="60" t="str">
        <f>CONCATENATE(O4,H27,O5,H27,I27)</f>
        <v>AT1_PLC1_N</v>
      </c>
      <c r="K27" s="103" t="s">
        <v>92</v>
      </c>
      <c r="L27" s="104" t="s">
        <v>104</v>
      </c>
      <c r="M27" s="105">
        <f>SUM(Q27,P9*2)</f>
        <v>20936</v>
      </c>
      <c r="N27" s="106" t="str">
        <f t="shared" si="2"/>
        <v>%MW20936</v>
      </c>
      <c r="O27" s="50" t="s">
        <v>94</v>
      </c>
      <c r="P27" s="43">
        <f>P9</f>
        <v>168</v>
      </c>
      <c r="Q27" s="107">
        <v>20600</v>
      </c>
      <c r="R27" s="108">
        <v>21198</v>
      </c>
      <c r="S27" s="22" t="s">
        <v>7</v>
      </c>
      <c r="T27" s="16" t="s">
        <v>133</v>
      </c>
      <c r="U27" s="16" t="s">
        <v>125</v>
      </c>
      <c r="V27" s="109" t="str">
        <f>CONCATENATE(O4,T27,O6,U27)</f>
        <v>AT1\AAA777_WL</v>
      </c>
      <c r="W27" s="110" t="s">
        <v>138</v>
      </c>
      <c r="X27" s="110" t="s">
        <v>141</v>
      </c>
      <c r="Y27" s="111" t="s">
        <v>154</v>
      </c>
      <c r="Z27" s="111" t="str">
        <f>CONCATENATE(O6,W27,Y27)</f>
        <v>AAA777        Нижняя граница норм. технол. Реж. (НТР).</v>
      </c>
      <c r="AA27" s="8" t="s">
        <v>2</v>
      </c>
      <c r="AB27" s="8" t="s">
        <v>1</v>
      </c>
      <c r="AC27" s="17" t="s">
        <v>12</v>
      </c>
      <c r="AD27" s="8" t="s">
        <v>2</v>
      </c>
      <c r="AE27" s="8" t="s">
        <v>2</v>
      </c>
      <c r="AF27" s="8" t="s">
        <v>1</v>
      </c>
      <c r="AG27" s="8" t="s">
        <v>8</v>
      </c>
      <c r="AH27" s="129" t="str">
        <f>AA6</f>
        <v>0</v>
      </c>
      <c r="AI27" s="129" t="str">
        <f>AA5</f>
        <v>100</v>
      </c>
      <c r="AJ27" s="8">
        <v>0</v>
      </c>
      <c r="AK27" s="17">
        <v>1</v>
      </c>
      <c r="AL27" s="17">
        <v>0</v>
      </c>
      <c r="AM27" s="8">
        <v>0</v>
      </c>
      <c r="AN27" s="129" t="str">
        <f>AA4</f>
        <v>м³</v>
      </c>
      <c r="AO27" s="8"/>
      <c r="AP27" s="8"/>
      <c r="AQ27" s="8"/>
      <c r="AR27" s="8"/>
      <c r="AS27" s="8"/>
      <c r="AT27" s="102" t="s">
        <v>134</v>
      </c>
      <c r="AU27" s="103" t="s">
        <v>135</v>
      </c>
      <c r="AV27" s="103" t="str">
        <f>CONCATENATE(O4,AT27,O5,AT27,AU27)</f>
        <v>AT1_PLC1_N</v>
      </c>
      <c r="AW27" s="103" t="s">
        <v>88</v>
      </c>
      <c r="AX27" s="104" t="s">
        <v>103</v>
      </c>
      <c r="AY27" s="64">
        <f>SUM(Q27,P9*2)</f>
        <v>20936</v>
      </c>
      <c r="AZ27" s="112" t="str">
        <f t="shared" si="3"/>
        <v>%MF20936</v>
      </c>
      <c r="BA27" s="23" t="s">
        <v>7</v>
      </c>
      <c r="BB27" s="123"/>
      <c r="BC27" s="123"/>
      <c r="BD27" s="123"/>
      <c r="BE27" s="123"/>
      <c r="BF27" s="123"/>
      <c r="BG27" s="124"/>
      <c r="BJ27" s="146" t="s">
        <v>159</v>
      </c>
      <c r="BL27" s="171" t="str">
        <f t="shared" si="1"/>
        <v>A,AT1\AAA777_WL,AAA777        Нижняя граница норм. технол. Реж. (НТР).,F,D,C,F,F,D,L,0,100,0,1,0,0,м³,,,,,,AT1_PLC1_N,%MF20936,A,,,,,,</v>
      </c>
      <c r="BM27" s="168"/>
      <c r="BN27" s="168"/>
      <c r="BO27" s="168"/>
      <c r="BP27" s="168"/>
      <c r="BQ27" s="168"/>
      <c r="BR27" s="168"/>
      <c r="BS27" s="168"/>
      <c r="BT27" s="168"/>
      <c r="BU27" s="168"/>
      <c r="BV27" s="168"/>
      <c r="BW27" s="168"/>
      <c r="BX27" s="168"/>
      <c r="BY27" s="168"/>
      <c r="BZ27" s="168"/>
      <c r="CA27" s="168"/>
      <c r="CB27" s="169"/>
    </row>
    <row r="37" spans="2:3" x14ac:dyDescent="0.25">
      <c r="B37" s="15"/>
      <c r="C37" s="15"/>
    </row>
    <row r="38" spans="2:3" x14ac:dyDescent="0.25">
      <c r="B38" s="15"/>
      <c r="C38" s="15"/>
    </row>
    <row r="39" spans="2:3" x14ac:dyDescent="0.25">
      <c r="B39" s="15"/>
      <c r="C39" s="15"/>
    </row>
    <row r="40" spans="2:3" x14ac:dyDescent="0.25">
      <c r="B40" s="15"/>
      <c r="C40" s="15"/>
    </row>
    <row r="41" spans="2:3" outlineLevel="1" x14ac:dyDescent="0.25">
      <c r="B41" s="15"/>
      <c r="C41" s="15"/>
    </row>
    <row r="42" spans="2:3" outlineLevel="1" x14ac:dyDescent="0.25">
      <c r="B42" s="15"/>
      <c r="C42" s="15"/>
    </row>
    <row r="43" spans="2:3" outlineLevel="1" x14ac:dyDescent="0.25">
      <c r="B43" s="15"/>
      <c r="C43" s="15"/>
    </row>
    <row r="44" spans="2:3" outlineLevel="1" x14ac:dyDescent="0.25">
      <c r="B44" s="15"/>
      <c r="C44" s="15"/>
    </row>
    <row r="45" spans="2:3" outlineLevel="1" x14ac:dyDescent="0.25">
      <c r="B45" s="15"/>
      <c r="C45" s="15"/>
    </row>
    <row r="46" spans="2:3" outlineLevel="1" x14ac:dyDescent="0.25">
      <c r="B46" s="15"/>
      <c r="C46" s="15"/>
    </row>
    <row r="47" spans="2:3" outlineLevel="1" x14ac:dyDescent="0.25">
      <c r="B47" s="15"/>
      <c r="C47" s="15"/>
    </row>
    <row r="48" spans="2:3" outlineLevel="1" x14ac:dyDescent="0.25">
      <c r="B48" s="15"/>
      <c r="C48" s="15"/>
    </row>
    <row r="49" spans="1:16" outlineLevel="1" x14ac:dyDescent="0.25">
      <c r="B49" s="15"/>
      <c r="C49" s="15"/>
    </row>
    <row r="50" spans="1:16" outlineLevel="1" x14ac:dyDescent="0.25">
      <c r="B50" s="15"/>
      <c r="C50" s="15"/>
      <c r="E50" t="s">
        <v>386</v>
      </c>
    </row>
    <row r="51" spans="1:16" outlineLevel="1" x14ac:dyDescent="0.25">
      <c r="B51" s="73"/>
      <c r="C51" s="73"/>
      <c r="E51" t="s">
        <v>325</v>
      </c>
    </row>
    <row r="52" spans="1:16" outlineLevel="1" x14ac:dyDescent="0.25">
      <c r="B52" s="73"/>
      <c r="C52" s="73"/>
      <c r="E52" t="s">
        <v>324</v>
      </c>
    </row>
    <row r="53" spans="1:16" ht="16.5" customHeight="1" outlineLevel="1" x14ac:dyDescent="0.25">
      <c r="A53">
        <v>168</v>
      </c>
    </row>
    <row r="54" spans="1:16" ht="27" customHeight="1" outlineLevel="1" thickBot="1" x14ac:dyDescent="0.3">
      <c r="A54" s="198" t="s">
        <v>554</v>
      </c>
      <c r="B54" s="199" t="s">
        <v>326</v>
      </c>
      <c r="C54" s="199" t="s">
        <v>387</v>
      </c>
      <c r="D54" s="199" t="s">
        <v>323</v>
      </c>
      <c r="E54" s="199" t="s">
        <v>563</v>
      </c>
      <c r="F54" s="199" t="s">
        <v>562</v>
      </c>
      <c r="G54" s="199" t="s">
        <v>168</v>
      </c>
      <c r="H54" s="199"/>
      <c r="I54" s="199"/>
      <c r="J54" s="199" t="s">
        <v>167</v>
      </c>
    </row>
    <row r="55" spans="1:16" ht="69.75" outlineLevel="1" x14ac:dyDescent="0.35">
      <c r="A55" s="147">
        <v>0</v>
      </c>
      <c r="B55" s="210" t="s">
        <v>574</v>
      </c>
      <c r="C55" s="194" t="s">
        <v>388</v>
      </c>
      <c r="D55" s="172" t="s">
        <v>169</v>
      </c>
      <c r="E55" t="s">
        <v>324</v>
      </c>
      <c r="G55" t="s">
        <v>129</v>
      </c>
      <c r="J55" t="s">
        <v>131</v>
      </c>
      <c r="N55" s="148"/>
      <c r="O55" s="148"/>
      <c r="P55" s="197"/>
    </row>
    <row r="56" spans="1:16" ht="81" outlineLevel="1" x14ac:dyDescent="0.35">
      <c r="A56" s="147">
        <v>1</v>
      </c>
      <c r="B56" s="211" t="s">
        <v>575</v>
      </c>
      <c r="C56" s="194" t="s">
        <v>389</v>
      </c>
      <c r="D56" s="173" t="s">
        <v>170</v>
      </c>
      <c r="E56" t="s">
        <v>324</v>
      </c>
      <c r="N56" s="148"/>
      <c r="O56" s="148"/>
      <c r="P56" s="197"/>
    </row>
    <row r="57" spans="1:16" ht="81" outlineLevel="1" x14ac:dyDescent="0.35">
      <c r="A57" s="147">
        <v>2</v>
      </c>
      <c r="B57" s="211" t="s">
        <v>163</v>
      </c>
      <c r="C57" s="194" t="s">
        <v>390</v>
      </c>
      <c r="D57" s="173" t="s">
        <v>171</v>
      </c>
      <c r="E57" t="s">
        <v>324</v>
      </c>
      <c r="N57" s="148"/>
      <c r="O57" s="148"/>
      <c r="P57" s="197"/>
    </row>
    <row r="58" spans="1:16" ht="92.25" outlineLevel="1" x14ac:dyDescent="0.35">
      <c r="A58" s="147">
        <v>3</v>
      </c>
      <c r="B58" s="211" t="s">
        <v>164</v>
      </c>
      <c r="C58" s="194" t="s">
        <v>391</v>
      </c>
      <c r="D58" s="173" t="s">
        <v>172</v>
      </c>
      <c r="E58" t="s">
        <v>324</v>
      </c>
      <c r="N58" s="148"/>
      <c r="O58" s="148"/>
      <c r="P58" s="197"/>
    </row>
    <row r="59" spans="1:16" ht="58.5" outlineLevel="1" x14ac:dyDescent="0.35">
      <c r="A59" s="147">
        <v>4</v>
      </c>
      <c r="B59" s="211" t="s">
        <v>165</v>
      </c>
      <c r="C59" s="194" t="s">
        <v>392</v>
      </c>
      <c r="D59" s="173" t="s">
        <v>173</v>
      </c>
      <c r="E59" t="s">
        <v>324</v>
      </c>
      <c r="N59" s="148"/>
      <c r="O59" s="148"/>
      <c r="P59" s="197"/>
    </row>
    <row r="60" spans="1:16" ht="58.5" outlineLevel="1" x14ac:dyDescent="0.35">
      <c r="A60" s="147">
        <v>5</v>
      </c>
      <c r="B60" s="211" t="s">
        <v>576</v>
      </c>
      <c r="C60" s="194" t="s">
        <v>393</v>
      </c>
      <c r="D60" s="173" t="s">
        <v>174</v>
      </c>
      <c r="E60" t="s">
        <v>324</v>
      </c>
      <c r="N60" s="148"/>
      <c r="O60" s="148"/>
      <c r="P60" s="197"/>
    </row>
    <row r="61" spans="1:16" ht="69.75" outlineLevel="1" x14ac:dyDescent="0.35">
      <c r="A61" s="147">
        <v>6</v>
      </c>
      <c r="B61" s="211" t="s">
        <v>577</v>
      </c>
      <c r="C61" s="194" t="s">
        <v>394</v>
      </c>
      <c r="D61" s="173" t="s">
        <v>175</v>
      </c>
      <c r="E61" t="s">
        <v>324</v>
      </c>
      <c r="N61" s="148"/>
      <c r="O61" s="148"/>
      <c r="P61" s="197"/>
    </row>
    <row r="62" spans="1:16" ht="69.75" outlineLevel="1" x14ac:dyDescent="0.35">
      <c r="A62" s="147">
        <v>7</v>
      </c>
      <c r="B62" s="211" t="s">
        <v>578</v>
      </c>
      <c r="C62" s="194" t="s">
        <v>395</v>
      </c>
      <c r="D62" s="173" t="s">
        <v>176</v>
      </c>
      <c r="E62" t="s">
        <v>324</v>
      </c>
      <c r="N62" s="148"/>
      <c r="O62" s="148"/>
      <c r="P62" s="197"/>
    </row>
    <row r="63" spans="1:16" ht="36" outlineLevel="1" x14ac:dyDescent="0.35">
      <c r="A63" s="147">
        <v>8</v>
      </c>
      <c r="B63" s="211" t="s">
        <v>579</v>
      </c>
      <c r="C63" s="194" t="s">
        <v>396</v>
      </c>
      <c r="D63" s="173" t="s">
        <v>177</v>
      </c>
      <c r="E63" t="s">
        <v>324</v>
      </c>
      <c r="N63" s="148"/>
      <c r="O63" s="148"/>
      <c r="P63" s="197"/>
    </row>
    <row r="64" spans="1:16" ht="36" outlineLevel="1" x14ac:dyDescent="0.35">
      <c r="A64" s="147">
        <v>9</v>
      </c>
      <c r="B64" s="211" t="s">
        <v>580</v>
      </c>
      <c r="C64" s="194" t="s">
        <v>397</v>
      </c>
      <c r="D64" s="173" t="s">
        <v>178</v>
      </c>
      <c r="E64" t="s">
        <v>324</v>
      </c>
      <c r="N64" s="148"/>
      <c r="O64" s="148"/>
      <c r="P64" s="197"/>
    </row>
    <row r="65" spans="1:16" ht="36" outlineLevel="1" x14ac:dyDescent="0.35">
      <c r="A65" s="147">
        <v>10</v>
      </c>
      <c r="B65" s="211" t="s">
        <v>581</v>
      </c>
      <c r="C65" s="194" t="s">
        <v>398</v>
      </c>
      <c r="D65" s="173" t="s">
        <v>179</v>
      </c>
      <c r="E65" t="s">
        <v>324</v>
      </c>
      <c r="N65" s="148"/>
      <c r="O65" s="148"/>
      <c r="P65" s="197"/>
    </row>
    <row r="66" spans="1:16" ht="36" outlineLevel="1" x14ac:dyDescent="0.35">
      <c r="A66" s="147">
        <v>11</v>
      </c>
      <c r="B66" s="211" t="s">
        <v>582</v>
      </c>
      <c r="C66" s="194" t="s">
        <v>399</v>
      </c>
      <c r="D66" s="173" t="s">
        <v>180</v>
      </c>
      <c r="E66" t="s">
        <v>324</v>
      </c>
      <c r="N66" s="148"/>
      <c r="O66" s="148"/>
      <c r="P66" s="197"/>
    </row>
    <row r="67" spans="1:16" ht="36" outlineLevel="1" x14ac:dyDescent="0.35">
      <c r="A67" s="147">
        <v>12</v>
      </c>
      <c r="B67" s="211" t="s">
        <v>583</v>
      </c>
      <c r="C67" s="194" t="s">
        <v>400</v>
      </c>
      <c r="D67" s="173" t="s">
        <v>181</v>
      </c>
      <c r="E67" t="s">
        <v>324</v>
      </c>
      <c r="N67" s="148"/>
      <c r="O67" s="148"/>
      <c r="P67" s="197"/>
    </row>
    <row r="68" spans="1:16" ht="47.25" outlineLevel="1" x14ac:dyDescent="0.35">
      <c r="A68" s="147">
        <v>13</v>
      </c>
      <c r="B68" s="211" t="s">
        <v>584</v>
      </c>
      <c r="C68" s="194" t="s">
        <v>401</v>
      </c>
      <c r="D68" s="173" t="s">
        <v>182</v>
      </c>
      <c r="E68" t="s">
        <v>324</v>
      </c>
      <c r="N68" s="148"/>
      <c r="O68" s="148"/>
      <c r="P68" s="197"/>
    </row>
    <row r="69" spans="1:16" ht="58.5" outlineLevel="1" x14ac:dyDescent="0.35">
      <c r="A69" s="147">
        <v>14</v>
      </c>
      <c r="B69" s="211" t="s">
        <v>585</v>
      </c>
      <c r="C69" s="194" t="s">
        <v>402</v>
      </c>
      <c r="D69" s="173" t="s">
        <v>183</v>
      </c>
      <c r="E69" t="s">
        <v>324</v>
      </c>
      <c r="N69" s="148"/>
      <c r="O69" s="148"/>
      <c r="P69" s="197"/>
    </row>
    <row r="70" spans="1:16" ht="58.5" outlineLevel="1" x14ac:dyDescent="0.35">
      <c r="A70" s="147">
        <v>15</v>
      </c>
      <c r="B70" s="211" t="s">
        <v>586</v>
      </c>
      <c r="C70" s="194" t="s">
        <v>403</v>
      </c>
      <c r="D70" s="173" t="s">
        <v>184</v>
      </c>
      <c r="E70" t="s">
        <v>324</v>
      </c>
      <c r="N70" s="148"/>
      <c r="O70" s="148"/>
      <c r="P70" s="197"/>
    </row>
    <row r="71" spans="1:16" ht="58.5" outlineLevel="1" x14ac:dyDescent="0.35">
      <c r="A71" s="147">
        <v>16</v>
      </c>
      <c r="B71" s="211" t="s">
        <v>587</v>
      </c>
      <c r="C71" s="194" t="s">
        <v>404</v>
      </c>
      <c r="D71" s="173" t="s">
        <v>185</v>
      </c>
      <c r="E71" t="s">
        <v>324</v>
      </c>
      <c r="N71" s="148"/>
      <c r="O71" s="148"/>
      <c r="P71" s="197"/>
    </row>
    <row r="72" spans="1:16" ht="24.75" outlineLevel="1" x14ac:dyDescent="0.35">
      <c r="A72" s="147">
        <v>17</v>
      </c>
      <c r="B72" s="211" t="s">
        <v>588</v>
      </c>
      <c r="C72" s="194" t="s">
        <v>405</v>
      </c>
      <c r="D72" s="173" t="s">
        <v>186</v>
      </c>
      <c r="E72" t="s">
        <v>324</v>
      </c>
      <c r="N72" s="148"/>
      <c r="O72" s="148"/>
      <c r="P72" s="197"/>
    </row>
    <row r="73" spans="1:16" ht="69.75" outlineLevel="1" x14ac:dyDescent="0.35">
      <c r="A73" s="147">
        <v>18</v>
      </c>
      <c r="B73" s="211" t="s">
        <v>589</v>
      </c>
      <c r="C73" s="194" t="s">
        <v>406</v>
      </c>
      <c r="D73" s="173" t="s">
        <v>187</v>
      </c>
      <c r="E73" t="s">
        <v>324</v>
      </c>
      <c r="N73" s="148"/>
      <c r="O73" s="148"/>
      <c r="P73" s="197"/>
    </row>
    <row r="74" spans="1:16" ht="69.75" outlineLevel="1" x14ac:dyDescent="0.35">
      <c r="A74" s="147">
        <v>19</v>
      </c>
      <c r="B74" s="211" t="s">
        <v>590</v>
      </c>
      <c r="C74" s="194" t="s">
        <v>407</v>
      </c>
      <c r="D74" s="173" t="s">
        <v>188</v>
      </c>
      <c r="E74" t="s">
        <v>324</v>
      </c>
      <c r="N74" s="148"/>
      <c r="O74" s="148"/>
      <c r="P74" s="197"/>
    </row>
    <row r="75" spans="1:16" ht="24.75" outlineLevel="1" x14ac:dyDescent="0.35">
      <c r="A75" s="147">
        <v>20</v>
      </c>
      <c r="B75" s="211" t="s">
        <v>591</v>
      </c>
      <c r="C75" s="194" t="s">
        <v>408</v>
      </c>
      <c r="D75" s="173" t="s">
        <v>189</v>
      </c>
      <c r="E75" t="s">
        <v>324</v>
      </c>
      <c r="N75" s="148"/>
      <c r="O75" s="148"/>
      <c r="P75" s="197"/>
    </row>
    <row r="76" spans="1:16" ht="58.5" outlineLevel="1" x14ac:dyDescent="0.35">
      <c r="A76" s="147">
        <v>21</v>
      </c>
      <c r="B76" s="211" t="s">
        <v>592</v>
      </c>
      <c r="C76" s="194" t="s">
        <v>409</v>
      </c>
      <c r="D76" s="173" t="s">
        <v>190</v>
      </c>
      <c r="E76" t="s">
        <v>324</v>
      </c>
      <c r="N76" s="148"/>
      <c r="O76" s="148"/>
      <c r="P76" s="197"/>
    </row>
    <row r="77" spans="1:16" ht="58.5" outlineLevel="1" x14ac:dyDescent="0.35">
      <c r="A77" s="147">
        <v>22</v>
      </c>
      <c r="B77" s="211" t="s">
        <v>593</v>
      </c>
      <c r="C77" s="194" t="s">
        <v>410</v>
      </c>
      <c r="D77" s="173" t="s">
        <v>191</v>
      </c>
      <c r="E77" t="s">
        <v>324</v>
      </c>
      <c r="N77" s="148"/>
      <c r="O77" s="148"/>
      <c r="P77" s="197"/>
    </row>
    <row r="78" spans="1:16" ht="58.5" outlineLevel="1" x14ac:dyDescent="0.35">
      <c r="A78" s="147">
        <v>23</v>
      </c>
      <c r="B78" s="211" t="s">
        <v>64</v>
      </c>
      <c r="C78" s="194" t="s">
        <v>65</v>
      </c>
      <c r="D78" s="173" t="s">
        <v>558</v>
      </c>
      <c r="E78" t="s">
        <v>324</v>
      </c>
      <c r="N78" s="148"/>
      <c r="O78" s="148"/>
      <c r="P78" s="197"/>
    </row>
    <row r="79" spans="1:16" ht="36" outlineLevel="1" x14ac:dyDescent="0.35">
      <c r="A79" s="147">
        <v>24</v>
      </c>
      <c r="B79" s="211" t="s">
        <v>594</v>
      </c>
      <c r="C79" s="194" t="s">
        <v>412</v>
      </c>
      <c r="D79" s="173" t="s">
        <v>192</v>
      </c>
      <c r="E79" t="s">
        <v>324</v>
      </c>
      <c r="N79" s="148"/>
      <c r="O79" s="148"/>
      <c r="P79" s="197"/>
    </row>
    <row r="80" spans="1:16" ht="36" outlineLevel="1" x14ac:dyDescent="0.35">
      <c r="A80" s="147">
        <v>25</v>
      </c>
      <c r="B80" s="211" t="s">
        <v>595</v>
      </c>
      <c r="C80" s="194" t="s">
        <v>413</v>
      </c>
      <c r="D80" s="173" t="s">
        <v>193</v>
      </c>
      <c r="E80" t="s">
        <v>324</v>
      </c>
      <c r="N80" s="148"/>
      <c r="O80" s="148"/>
      <c r="P80" s="197"/>
    </row>
    <row r="81" spans="1:16" ht="58.5" outlineLevel="1" x14ac:dyDescent="0.35">
      <c r="A81" s="147">
        <v>26</v>
      </c>
      <c r="B81" s="211" t="s">
        <v>596</v>
      </c>
      <c r="C81" s="194" t="s">
        <v>414</v>
      </c>
      <c r="D81" s="173" t="s">
        <v>194</v>
      </c>
      <c r="E81" t="s">
        <v>324</v>
      </c>
      <c r="N81" s="148"/>
      <c r="O81" s="148"/>
      <c r="P81" s="197"/>
    </row>
    <row r="82" spans="1:16" ht="36" outlineLevel="1" x14ac:dyDescent="0.35">
      <c r="A82" s="147">
        <v>27</v>
      </c>
      <c r="B82" s="211" t="s">
        <v>597</v>
      </c>
      <c r="C82" s="194" t="s">
        <v>415</v>
      </c>
      <c r="D82" s="173" t="s">
        <v>195</v>
      </c>
      <c r="E82" t="s">
        <v>324</v>
      </c>
      <c r="N82" s="148"/>
      <c r="O82" s="148"/>
      <c r="P82" s="197"/>
    </row>
    <row r="83" spans="1:16" ht="58.5" outlineLevel="1" x14ac:dyDescent="0.35">
      <c r="A83" s="147">
        <v>28</v>
      </c>
      <c r="B83" s="211" t="s">
        <v>598</v>
      </c>
      <c r="C83" s="194" t="s">
        <v>416</v>
      </c>
      <c r="D83" s="173" t="s">
        <v>196</v>
      </c>
      <c r="E83" t="s">
        <v>324</v>
      </c>
      <c r="N83" s="148"/>
      <c r="O83" s="148"/>
      <c r="P83" s="197"/>
    </row>
    <row r="84" spans="1:16" ht="47.25" outlineLevel="1" x14ac:dyDescent="0.35">
      <c r="A84" s="147">
        <v>29</v>
      </c>
      <c r="B84" s="211" t="s">
        <v>599</v>
      </c>
      <c r="C84" s="194" t="s">
        <v>417</v>
      </c>
      <c r="D84" s="173" t="s">
        <v>197</v>
      </c>
      <c r="E84" t="s">
        <v>324</v>
      </c>
      <c r="N84" s="148"/>
      <c r="O84" s="148"/>
      <c r="P84" s="197"/>
    </row>
    <row r="85" spans="1:16" ht="23.25" outlineLevel="1" x14ac:dyDescent="0.35">
      <c r="A85" s="147">
        <v>30</v>
      </c>
      <c r="B85" s="211" t="s">
        <v>600</v>
      </c>
      <c r="C85" s="194" t="s">
        <v>418</v>
      </c>
      <c r="D85" s="173" t="s">
        <v>198</v>
      </c>
      <c r="E85" t="s">
        <v>324</v>
      </c>
      <c r="N85" s="148"/>
      <c r="O85" s="148"/>
      <c r="P85" s="197"/>
    </row>
    <row r="86" spans="1:16" ht="23.25" outlineLevel="1" x14ac:dyDescent="0.35">
      <c r="A86" s="147">
        <v>31</v>
      </c>
      <c r="B86" s="211" t="s">
        <v>601</v>
      </c>
      <c r="C86" s="194" t="s">
        <v>419</v>
      </c>
      <c r="D86" s="173" t="s">
        <v>198</v>
      </c>
      <c r="E86" t="s">
        <v>324</v>
      </c>
      <c r="N86" s="148"/>
      <c r="O86" s="148"/>
      <c r="P86" s="197"/>
    </row>
    <row r="87" spans="1:16" ht="69.75" outlineLevel="1" x14ac:dyDescent="0.35">
      <c r="A87" s="147">
        <v>32</v>
      </c>
      <c r="B87" s="211" t="s">
        <v>602</v>
      </c>
      <c r="C87" s="194" t="s">
        <v>420</v>
      </c>
      <c r="D87" s="173" t="s">
        <v>199</v>
      </c>
      <c r="E87" t="s">
        <v>324</v>
      </c>
      <c r="N87" s="148"/>
      <c r="O87" s="148"/>
      <c r="P87" s="197"/>
    </row>
    <row r="88" spans="1:16" ht="103.5" outlineLevel="1" x14ac:dyDescent="0.35">
      <c r="A88" s="147">
        <v>33</v>
      </c>
      <c r="B88" s="211" t="s">
        <v>603</v>
      </c>
      <c r="C88" s="194" t="s">
        <v>421</v>
      </c>
      <c r="D88" s="173" t="s">
        <v>200</v>
      </c>
      <c r="E88" t="s">
        <v>324</v>
      </c>
      <c r="N88" s="148"/>
      <c r="O88" s="148"/>
      <c r="P88" s="197"/>
    </row>
    <row r="89" spans="1:16" ht="81" outlineLevel="1" x14ac:dyDescent="0.35">
      <c r="A89" s="147">
        <v>34</v>
      </c>
      <c r="B89" s="211" t="s">
        <v>604</v>
      </c>
      <c r="C89" s="194" t="s">
        <v>422</v>
      </c>
      <c r="D89" s="173" t="s">
        <v>201</v>
      </c>
      <c r="E89" t="s">
        <v>324</v>
      </c>
      <c r="N89" s="148"/>
      <c r="O89" s="148"/>
      <c r="P89" s="197"/>
    </row>
    <row r="90" spans="1:16" ht="103.5" outlineLevel="1" x14ac:dyDescent="0.35">
      <c r="A90" s="147">
        <v>35</v>
      </c>
      <c r="B90" s="211" t="s">
        <v>605</v>
      </c>
      <c r="C90" s="194" t="s">
        <v>423</v>
      </c>
      <c r="D90" s="173" t="s">
        <v>202</v>
      </c>
      <c r="E90" t="s">
        <v>324</v>
      </c>
      <c r="N90" s="148"/>
      <c r="O90" s="148"/>
      <c r="P90" s="197"/>
    </row>
    <row r="91" spans="1:16" ht="92.25" outlineLevel="1" x14ac:dyDescent="0.35">
      <c r="A91" s="147">
        <v>36</v>
      </c>
      <c r="B91" s="211" t="s">
        <v>606</v>
      </c>
      <c r="C91" s="194" t="s">
        <v>424</v>
      </c>
      <c r="D91" s="173" t="s">
        <v>203</v>
      </c>
      <c r="E91" t="s">
        <v>324</v>
      </c>
      <c r="N91" s="148"/>
      <c r="O91" s="148"/>
      <c r="P91" s="197"/>
    </row>
    <row r="92" spans="1:16" ht="69.75" outlineLevel="1" x14ac:dyDescent="0.35">
      <c r="A92" s="147">
        <v>37</v>
      </c>
      <c r="B92" s="211" t="s">
        <v>607</v>
      </c>
      <c r="C92" s="194" t="s">
        <v>425</v>
      </c>
      <c r="D92" s="173" t="s">
        <v>204</v>
      </c>
      <c r="E92" t="s">
        <v>324</v>
      </c>
      <c r="N92" s="148"/>
      <c r="O92" s="148"/>
      <c r="P92" s="197"/>
    </row>
    <row r="93" spans="1:16" ht="69.75" outlineLevel="1" x14ac:dyDescent="0.35">
      <c r="A93" s="147">
        <v>38</v>
      </c>
      <c r="B93" s="211" t="s">
        <v>608</v>
      </c>
      <c r="C93" s="194" t="s">
        <v>426</v>
      </c>
      <c r="D93" s="173" t="s">
        <v>205</v>
      </c>
      <c r="E93" t="s">
        <v>324</v>
      </c>
      <c r="N93" s="148"/>
      <c r="O93" s="148"/>
      <c r="P93" s="197"/>
    </row>
    <row r="94" spans="1:16" ht="36" outlineLevel="1" x14ac:dyDescent="0.35">
      <c r="A94" s="147">
        <v>39</v>
      </c>
      <c r="B94" s="211" t="s">
        <v>609</v>
      </c>
      <c r="C94" s="194" t="s">
        <v>427</v>
      </c>
      <c r="D94" s="173" t="s">
        <v>206</v>
      </c>
      <c r="E94" t="s">
        <v>324</v>
      </c>
      <c r="N94" s="148"/>
      <c r="O94" s="148"/>
      <c r="P94" s="197"/>
    </row>
    <row r="95" spans="1:16" ht="58.5" outlineLevel="1" x14ac:dyDescent="0.35">
      <c r="A95" s="147">
        <v>40</v>
      </c>
      <c r="B95" s="211" t="s">
        <v>610</v>
      </c>
      <c r="C95" s="194" t="s">
        <v>428</v>
      </c>
      <c r="D95" s="173" t="s">
        <v>207</v>
      </c>
      <c r="E95" t="s">
        <v>324</v>
      </c>
      <c r="N95" s="148"/>
      <c r="O95" s="148"/>
      <c r="P95" s="197"/>
    </row>
    <row r="96" spans="1:16" ht="47.25" outlineLevel="1" x14ac:dyDescent="0.35">
      <c r="A96" s="147">
        <v>41</v>
      </c>
      <c r="B96" s="211" t="s">
        <v>611</v>
      </c>
      <c r="C96" s="194" t="s">
        <v>429</v>
      </c>
      <c r="D96" s="173" t="s">
        <v>208</v>
      </c>
      <c r="E96" t="s">
        <v>324</v>
      </c>
      <c r="N96" s="148"/>
      <c r="O96" s="148"/>
      <c r="P96" s="197"/>
    </row>
    <row r="97" spans="1:16" ht="47.25" outlineLevel="1" x14ac:dyDescent="0.35">
      <c r="A97" s="147">
        <v>42</v>
      </c>
      <c r="B97" s="211" t="s">
        <v>612</v>
      </c>
      <c r="C97" s="194" t="s">
        <v>430</v>
      </c>
      <c r="D97" s="173" t="s">
        <v>209</v>
      </c>
      <c r="E97" t="s">
        <v>324</v>
      </c>
      <c r="N97" s="148"/>
      <c r="O97" s="148"/>
      <c r="P97" s="197"/>
    </row>
    <row r="98" spans="1:16" ht="58.5" outlineLevel="1" x14ac:dyDescent="0.35">
      <c r="A98" s="147">
        <v>43</v>
      </c>
      <c r="B98" s="211" t="s">
        <v>613</v>
      </c>
      <c r="C98" s="194" t="s">
        <v>431</v>
      </c>
      <c r="D98" s="173" t="s">
        <v>210</v>
      </c>
      <c r="E98" t="s">
        <v>324</v>
      </c>
      <c r="N98" s="148"/>
      <c r="O98" s="148"/>
      <c r="P98" s="197"/>
    </row>
    <row r="99" spans="1:16" ht="58.5" outlineLevel="1" x14ac:dyDescent="0.35">
      <c r="A99" s="147">
        <v>44</v>
      </c>
      <c r="B99" s="211" t="s">
        <v>614</v>
      </c>
      <c r="C99" s="194" t="s">
        <v>432</v>
      </c>
      <c r="D99" s="173" t="s">
        <v>211</v>
      </c>
      <c r="E99" t="s">
        <v>324</v>
      </c>
      <c r="N99" s="148"/>
      <c r="O99" s="148"/>
      <c r="P99" s="197"/>
    </row>
    <row r="100" spans="1:16" ht="58.5" outlineLevel="1" x14ac:dyDescent="0.35">
      <c r="A100" s="147">
        <v>45</v>
      </c>
      <c r="B100" s="211" t="s">
        <v>615</v>
      </c>
      <c r="C100" s="194" t="s">
        <v>433</v>
      </c>
      <c r="D100" s="173" t="s">
        <v>211</v>
      </c>
      <c r="E100" t="s">
        <v>324</v>
      </c>
      <c r="N100" s="148"/>
      <c r="O100" s="148"/>
      <c r="P100" s="197"/>
    </row>
    <row r="101" spans="1:16" ht="69.75" outlineLevel="1" x14ac:dyDescent="0.35">
      <c r="A101" s="147">
        <v>46</v>
      </c>
      <c r="B101" s="211" t="s">
        <v>616</v>
      </c>
      <c r="C101" s="194" t="s">
        <v>434</v>
      </c>
      <c r="D101" s="173" t="s">
        <v>212</v>
      </c>
      <c r="E101" t="s">
        <v>324</v>
      </c>
      <c r="N101" s="148"/>
      <c r="O101" s="148"/>
      <c r="P101" s="197"/>
    </row>
    <row r="102" spans="1:16" ht="69.75" outlineLevel="1" x14ac:dyDescent="0.35">
      <c r="A102" s="147">
        <v>47</v>
      </c>
      <c r="B102" s="211" t="s">
        <v>617</v>
      </c>
      <c r="C102" s="194" t="s">
        <v>435</v>
      </c>
      <c r="D102" s="173" t="s">
        <v>213</v>
      </c>
      <c r="E102" t="s">
        <v>324</v>
      </c>
      <c r="N102" s="148"/>
      <c r="O102" s="148"/>
      <c r="P102" s="197"/>
    </row>
    <row r="103" spans="1:16" ht="69.75" outlineLevel="1" x14ac:dyDescent="0.35">
      <c r="A103" s="147">
        <v>48</v>
      </c>
      <c r="B103" s="211" t="s">
        <v>618</v>
      </c>
      <c r="C103" s="194" t="s">
        <v>436</v>
      </c>
      <c r="D103" s="173" t="s">
        <v>214</v>
      </c>
      <c r="E103" t="s">
        <v>324</v>
      </c>
      <c r="N103" s="148"/>
      <c r="O103" s="148"/>
      <c r="P103" s="197"/>
    </row>
    <row r="104" spans="1:16" ht="69.75" outlineLevel="1" x14ac:dyDescent="0.35">
      <c r="A104" s="147">
        <v>49</v>
      </c>
      <c r="B104" s="211" t="s">
        <v>619</v>
      </c>
      <c r="C104" s="194" t="s">
        <v>437</v>
      </c>
      <c r="D104" s="173" t="s">
        <v>215</v>
      </c>
      <c r="E104" t="s">
        <v>324</v>
      </c>
      <c r="N104" s="148"/>
      <c r="O104" s="148"/>
      <c r="P104" s="197"/>
    </row>
    <row r="105" spans="1:16" ht="36" outlineLevel="1" x14ac:dyDescent="0.35">
      <c r="A105" s="147">
        <v>50</v>
      </c>
      <c r="B105" s="211" t="s">
        <v>620</v>
      </c>
      <c r="C105" s="194" t="s">
        <v>438</v>
      </c>
      <c r="D105" s="173" t="s">
        <v>216</v>
      </c>
      <c r="E105" t="s">
        <v>324</v>
      </c>
      <c r="N105" s="148"/>
      <c r="O105" s="148"/>
      <c r="P105" s="197"/>
    </row>
    <row r="106" spans="1:16" ht="36" outlineLevel="1" x14ac:dyDescent="0.35">
      <c r="A106" s="147">
        <v>51</v>
      </c>
      <c r="B106" s="211" t="s">
        <v>621</v>
      </c>
      <c r="C106" s="194" t="s">
        <v>439</v>
      </c>
      <c r="D106" s="173" t="s">
        <v>217</v>
      </c>
      <c r="E106" t="s">
        <v>324</v>
      </c>
      <c r="N106" s="148"/>
      <c r="O106" s="148"/>
      <c r="P106" s="197"/>
    </row>
    <row r="107" spans="1:16" ht="36" outlineLevel="1" x14ac:dyDescent="0.35">
      <c r="A107" s="147">
        <v>52</v>
      </c>
      <c r="B107" s="211" t="s">
        <v>622</v>
      </c>
      <c r="C107" s="194" t="s">
        <v>440</v>
      </c>
      <c r="D107" s="173" t="s">
        <v>218</v>
      </c>
      <c r="E107" t="s">
        <v>324</v>
      </c>
      <c r="N107" s="148"/>
      <c r="O107" s="148"/>
      <c r="P107" s="197"/>
    </row>
    <row r="108" spans="1:16" ht="36" outlineLevel="1" x14ac:dyDescent="0.35">
      <c r="A108" s="147">
        <v>53</v>
      </c>
      <c r="B108" s="211" t="s">
        <v>623</v>
      </c>
      <c r="C108" s="194" t="s">
        <v>441</v>
      </c>
      <c r="D108" s="173" t="s">
        <v>219</v>
      </c>
      <c r="E108" t="s">
        <v>324</v>
      </c>
      <c r="N108" s="148"/>
      <c r="O108" s="148"/>
      <c r="P108" s="197"/>
    </row>
    <row r="109" spans="1:16" ht="36" outlineLevel="1" x14ac:dyDescent="0.35">
      <c r="A109" s="147">
        <v>54</v>
      </c>
      <c r="B109" s="211" t="s">
        <v>624</v>
      </c>
      <c r="C109" s="194" t="s">
        <v>442</v>
      </c>
      <c r="D109" s="173" t="s">
        <v>220</v>
      </c>
      <c r="E109" t="s">
        <v>324</v>
      </c>
      <c r="N109" s="148"/>
      <c r="O109" s="148"/>
      <c r="P109" s="197"/>
    </row>
    <row r="110" spans="1:16" ht="36" outlineLevel="1" x14ac:dyDescent="0.35">
      <c r="A110" s="147">
        <v>55</v>
      </c>
      <c r="B110" s="211" t="s">
        <v>625</v>
      </c>
      <c r="C110" s="194" t="s">
        <v>443</v>
      </c>
      <c r="D110" s="173" t="s">
        <v>221</v>
      </c>
      <c r="E110" t="s">
        <v>324</v>
      </c>
      <c r="N110" s="148"/>
      <c r="O110" s="148"/>
      <c r="P110" s="197"/>
    </row>
    <row r="111" spans="1:16" ht="47.25" outlineLevel="1" x14ac:dyDescent="0.35">
      <c r="A111" s="147">
        <v>56</v>
      </c>
      <c r="B111" s="211" t="s">
        <v>626</v>
      </c>
      <c r="C111" s="194" t="s">
        <v>444</v>
      </c>
      <c r="D111" s="173" t="s">
        <v>222</v>
      </c>
      <c r="E111" t="s">
        <v>324</v>
      </c>
      <c r="N111" s="148"/>
      <c r="O111" s="148"/>
      <c r="P111" s="197"/>
    </row>
    <row r="112" spans="1:16" ht="58.5" outlineLevel="1" x14ac:dyDescent="0.35">
      <c r="A112" s="147">
        <v>57</v>
      </c>
      <c r="B112" s="211" t="s">
        <v>627</v>
      </c>
      <c r="C112" s="194" t="s">
        <v>445</v>
      </c>
      <c r="D112" s="173" t="s">
        <v>223</v>
      </c>
      <c r="E112" t="s">
        <v>324</v>
      </c>
      <c r="N112" s="148"/>
      <c r="O112" s="148"/>
      <c r="P112" s="197"/>
    </row>
    <row r="113" spans="1:16" ht="58.5" outlineLevel="1" x14ac:dyDescent="0.35">
      <c r="A113" s="147">
        <v>58</v>
      </c>
      <c r="B113" s="211" t="s">
        <v>628</v>
      </c>
      <c r="C113" s="194" t="s">
        <v>446</v>
      </c>
      <c r="D113" s="173" t="s">
        <v>224</v>
      </c>
      <c r="E113" t="s">
        <v>324</v>
      </c>
      <c r="N113" s="148"/>
      <c r="O113" s="148"/>
      <c r="P113" s="197"/>
    </row>
    <row r="114" spans="1:16" ht="47.25" outlineLevel="1" x14ac:dyDescent="0.35">
      <c r="A114" s="147">
        <v>59</v>
      </c>
      <c r="B114" s="211" t="s">
        <v>629</v>
      </c>
      <c r="C114" s="194" t="s">
        <v>447</v>
      </c>
      <c r="D114" s="173" t="s">
        <v>225</v>
      </c>
      <c r="E114" t="s">
        <v>324</v>
      </c>
      <c r="N114" s="148"/>
      <c r="O114" s="148"/>
      <c r="P114" s="197"/>
    </row>
    <row r="115" spans="1:16" ht="23.25" outlineLevel="1" x14ac:dyDescent="0.35">
      <c r="A115" s="147">
        <v>60</v>
      </c>
      <c r="B115" s="211" t="s">
        <v>630</v>
      </c>
      <c r="C115" s="194" t="s">
        <v>448</v>
      </c>
      <c r="D115" s="173" t="s">
        <v>226</v>
      </c>
      <c r="E115" t="s">
        <v>324</v>
      </c>
      <c r="N115" s="148"/>
      <c r="O115" s="148"/>
      <c r="P115" s="197"/>
    </row>
    <row r="116" spans="1:16" ht="36" outlineLevel="1" x14ac:dyDescent="0.35">
      <c r="A116" s="147">
        <v>61</v>
      </c>
      <c r="B116" s="211" t="s">
        <v>631</v>
      </c>
      <c r="C116" s="194" t="s">
        <v>449</v>
      </c>
      <c r="D116" s="173" t="s">
        <v>227</v>
      </c>
      <c r="E116" t="s">
        <v>324</v>
      </c>
      <c r="N116" s="148"/>
      <c r="O116" s="148"/>
      <c r="P116" s="197"/>
    </row>
    <row r="117" spans="1:16" ht="23.25" outlineLevel="1" x14ac:dyDescent="0.35">
      <c r="A117" s="147">
        <v>62</v>
      </c>
      <c r="B117" s="211" t="s">
        <v>632</v>
      </c>
      <c r="C117" s="194" t="s">
        <v>450</v>
      </c>
      <c r="D117" s="173" t="s">
        <v>226</v>
      </c>
      <c r="E117" t="s">
        <v>324</v>
      </c>
      <c r="N117" s="148"/>
      <c r="O117" s="148"/>
      <c r="P117" s="197"/>
    </row>
    <row r="118" spans="1:16" ht="36" outlineLevel="1" x14ac:dyDescent="0.35">
      <c r="A118" s="147">
        <v>63</v>
      </c>
      <c r="B118" s="211" t="s">
        <v>633</v>
      </c>
      <c r="C118" s="194" t="s">
        <v>451</v>
      </c>
      <c r="D118" s="173" t="s">
        <v>227</v>
      </c>
      <c r="E118" t="s">
        <v>324</v>
      </c>
      <c r="N118" s="148"/>
      <c r="O118" s="148"/>
      <c r="P118" s="197"/>
    </row>
    <row r="119" spans="1:16" ht="92.25" outlineLevel="1" x14ac:dyDescent="0.35">
      <c r="A119" s="147">
        <v>64</v>
      </c>
      <c r="B119" s="211" t="s">
        <v>634</v>
      </c>
      <c r="C119" s="194" t="s">
        <v>452</v>
      </c>
      <c r="D119" s="173" t="s">
        <v>228</v>
      </c>
      <c r="E119" t="s">
        <v>324</v>
      </c>
      <c r="N119" s="148"/>
      <c r="O119" s="148"/>
      <c r="P119" s="197"/>
    </row>
    <row r="120" spans="1:16" ht="58.5" outlineLevel="1" x14ac:dyDescent="0.35">
      <c r="A120" s="147">
        <v>65</v>
      </c>
      <c r="B120" s="211" t="s">
        <v>635</v>
      </c>
      <c r="C120" s="194" t="s">
        <v>453</v>
      </c>
      <c r="D120" s="173" t="s">
        <v>229</v>
      </c>
      <c r="E120" t="s">
        <v>324</v>
      </c>
      <c r="N120" s="148"/>
      <c r="O120" s="148"/>
      <c r="P120" s="197"/>
    </row>
    <row r="121" spans="1:16" ht="69.75" outlineLevel="1" x14ac:dyDescent="0.35">
      <c r="A121" s="147">
        <v>66</v>
      </c>
      <c r="B121" s="211" t="s">
        <v>636</v>
      </c>
      <c r="C121" s="194" t="s">
        <v>454</v>
      </c>
      <c r="D121" s="173" t="s">
        <v>230</v>
      </c>
      <c r="E121" t="s">
        <v>324</v>
      </c>
      <c r="N121" s="148"/>
      <c r="O121" s="148"/>
      <c r="P121" s="197"/>
    </row>
    <row r="122" spans="1:16" ht="58.5" outlineLevel="1" x14ac:dyDescent="0.35">
      <c r="A122" s="147">
        <v>67</v>
      </c>
      <c r="B122" s="211" t="s">
        <v>637</v>
      </c>
      <c r="C122" s="194" t="s">
        <v>455</v>
      </c>
      <c r="D122" s="173" t="s">
        <v>231</v>
      </c>
      <c r="E122" t="s">
        <v>324</v>
      </c>
      <c r="N122" s="148"/>
      <c r="O122" s="148"/>
      <c r="P122" s="197"/>
    </row>
    <row r="123" spans="1:16" ht="58.5" outlineLevel="1" x14ac:dyDescent="0.35">
      <c r="A123" s="147">
        <v>68</v>
      </c>
      <c r="B123" s="211" t="s">
        <v>638</v>
      </c>
      <c r="C123" s="194" t="s">
        <v>456</v>
      </c>
      <c r="D123" s="173" t="s">
        <v>232</v>
      </c>
      <c r="E123" t="s">
        <v>324</v>
      </c>
      <c r="N123" s="148"/>
      <c r="O123" s="148"/>
      <c r="P123" s="197"/>
    </row>
    <row r="124" spans="1:16" ht="58.5" outlineLevel="1" x14ac:dyDescent="0.35">
      <c r="A124" s="147">
        <v>69</v>
      </c>
      <c r="B124" s="211" t="s">
        <v>639</v>
      </c>
      <c r="C124" s="194" t="s">
        <v>457</v>
      </c>
      <c r="D124" s="173" t="s">
        <v>233</v>
      </c>
      <c r="E124" t="s">
        <v>324</v>
      </c>
      <c r="N124" s="148"/>
      <c r="O124" s="148"/>
      <c r="P124" s="197"/>
    </row>
    <row r="125" spans="1:16" ht="69.75" outlineLevel="1" x14ac:dyDescent="0.35">
      <c r="A125" s="147">
        <v>70</v>
      </c>
      <c r="B125" s="211" t="s">
        <v>640</v>
      </c>
      <c r="C125" s="194" t="s">
        <v>458</v>
      </c>
      <c r="D125" s="173" t="s">
        <v>234</v>
      </c>
      <c r="E125" t="s">
        <v>324</v>
      </c>
      <c r="N125" s="148"/>
      <c r="O125" s="148"/>
      <c r="P125" s="197"/>
    </row>
    <row r="126" spans="1:16" ht="69.75" outlineLevel="1" x14ac:dyDescent="0.35">
      <c r="A126" s="147">
        <v>71</v>
      </c>
      <c r="B126" s="211" t="s">
        <v>641</v>
      </c>
      <c r="C126" s="194" t="s">
        <v>459</v>
      </c>
      <c r="D126" s="173" t="s">
        <v>235</v>
      </c>
      <c r="E126" t="s">
        <v>324</v>
      </c>
      <c r="N126" s="148"/>
      <c r="O126" s="148"/>
      <c r="P126" s="197"/>
    </row>
    <row r="127" spans="1:16" ht="36" outlineLevel="1" x14ac:dyDescent="0.35">
      <c r="A127" s="147">
        <v>72</v>
      </c>
      <c r="B127" s="211" t="s">
        <v>642</v>
      </c>
      <c r="C127" s="194" t="s">
        <v>460</v>
      </c>
      <c r="D127" s="173" t="s">
        <v>236</v>
      </c>
      <c r="E127" t="s">
        <v>324</v>
      </c>
      <c r="N127" s="148"/>
      <c r="O127" s="148"/>
      <c r="P127" s="197"/>
    </row>
    <row r="128" spans="1:16" ht="36" outlineLevel="1" x14ac:dyDescent="0.35">
      <c r="A128" s="147">
        <v>73</v>
      </c>
      <c r="B128" s="211" t="s">
        <v>643</v>
      </c>
      <c r="C128" s="194" t="s">
        <v>461</v>
      </c>
      <c r="D128" s="173" t="s">
        <v>237</v>
      </c>
      <c r="E128" t="s">
        <v>324</v>
      </c>
      <c r="N128" s="148"/>
      <c r="O128" s="148"/>
      <c r="P128" s="197"/>
    </row>
    <row r="129" spans="1:16" ht="36" outlineLevel="1" x14ac:dyDescent="0.35">
      <c r="A129" s="147">
        <v>74</v>
      </c>
      <c r="B129" s="211" t="s">
        <v>644</v>
      </c>
      <c r="C129" s="194" t="s">
        <v>462</v>
      </c>
      <c r="D129" s="173" t="s">
        <v>238</v>
      </c>
      <c r="E129" t="s">
        <v>324</v>
      </c>
      <c r="N129" s="148"/>
      <c r="O129" s="148"/>
      <c r="P129" s="197"/>
    </row>
    <row r="130" spans="1:16" ht="69.75" outlineLevel="1" x14ac:dyDescent="0.35">
      <c r="A130" s="147">
        <v>75</v>
      </c>
      <c r="B130" s="211" t="s">
        <v>645</v>
      </c>
      <c r="C130" s="194" t="s">
        <v>463</v>
      </c>
      <c r="D130" s="173" t="s">
        <v>239</v>
      </c>
      <c r="E130" t="s">
        <v>324</v>
      </c>
      <c r="N130" s="148"/>
      <c r="O130" s="148"/>
      <c r="P130" s="197"/>
    </row>
    <row r="131" spans="1:16" ht="36" outlineLevel="1" x14ac:dyDescent="0.35">
      <c r="A131" s="147">
        <v>76</v>
      </c>
      <c r="B131" s="211" t="s">
        <v>646</v>
      </c>
      <c r="C131" s="194" t="s">
        <v>464</v>
      </c>
      <c r="D131" s="173" t="s">
        <v>240</v>
      </c>
      <c r="E131" t="s">
        <v>324</v>
      </c>
      <c r="N131" s="148"/>
      <c r="O131" s="148"/>
      <c r="P131" s="197"/>
    </row>
    <row r="132" spans="1:16" ht="24.75" outlineLevel="1" x14ac:dyDescent="0.35">
      <c r="A132" s="147">
        <v>77</v>
      </c>
      <c r="B132" s="211" t="s">
        <v>647</v>
      </c>
      <c r="C132" s="194" t="s">
        <v>465</v>
      </c>
      <c r="D132" s="173" t="s">
        <v>241</v>
      </c>
      <c r="E132" t="s">
        <v>324</v>
      </c>
      <c r="N132" s="148"/>
      <c r="O132" s="148"/>
      <c r="P132" s="197"/>
    </row>
    <row r="133" spans="1:16" ht="24.75" outlineLevel="1" x14ac:dyDescent="0.35">
      <c r="A133" s="147">
        <v>78</v>
      </c>
      <c r="B133" s="211" t="s">
        <v>648</v>
      </c>
      <c r="C133" s="194" t="s">
        <v>466</v>
      </c>
      <c r="D133" s="173" t="s">
        <v>242</v>
      </c>
      <c r="E133" t="s">
        <v>324</v>
      </c>
      <c r="N133" s="148"/>
      <c r="O133" s="148"/>
      <c r="P133" s="197"/>
    </row>
    <row r="134" spans="1:16" ht="36" outlineLevel="1" x14ac:dyDescent="0.35">
      <c r="A134" s="147">
        <v>79</v>
      </c>
      <c r="B134" s="211" t="s">
        <v>649</v>
      </c>
      <c r="C134" s="194" t="s">
        <v>467</v>
      </c>
      <c r="D134" s="173" t="s">
        <v>243</v>
      </c>
      <c r="E134" t="s">
        <v>324</v>
      </c>
      <c r="N134" s="148"/>
      <c r="O134" s="148"/>
      <c r="P134" s="197"/>
    </row>
    <row r="135" spans="1:16" ht="24.75" outlineLevel="1" x14ac:dyDescent="0.35">
      <c r="A135" s="147">
        <v>80</v>
      </c>
      <c r="B135" s="211" t="s">
        <v>650</v>
      </c>
      <c r="C135" s="194" t="s">
        <v>468</v>
      </c>
      <c r="D135" s="173" t="s">
        <v>244</v>
      </c>
      <c r="E135" t="s">
        <v>324</v>
      </c>
      <c r="N135" s="148"/>
      <c r="O135" s="148"/>
      <c r="P135" s="197"/>
    </row>
    <row r="136" spans="1:16" ht="24.75" outlineLevel="1" x14ac:dyDescent="0.35">
      <c r="A136" s="147">
        <v>81</v>
      </c>
      <c r="B136" s="211" t="s">
        <v>651</v>
      </c>
      <c r="C136" s="194" t="s">
        <v>469</v>
      </c>
      <c r="D136" s="173" t="s">
        <v>245</v>
      </c>
      <c r="E136" t="s">
        <v>324</v>
      </c>
      <c r="N136" s="148"/>
      <c r="O136" s="148"/>
      <c r="P136" s="197"/>
    </row>
    <row r="137" spans="1:16" ht="47.25" outlineLevel="1" x14ac:dyDescent="0.35">
      <c r="A137" s="147">
        <v>82</v>
      </c>
      <c r="B137" s="211" t="s">
        <v>652</v>
      </c>
      <c r="C137" s="194" t="s">
        <v>470</v>
      </c>
      <c r="D137" s="173" t="s">
        <v>246</v>
      </c>
      <c r="E137" t="s">
        <v>324</v>
      </c>
      <c r="N137" s="148"/>
      <c r="O137" s="148"/>
      <c r="P137" s="197"/>
    </row>
    <row r="138" spans="1:16" ht="69.75" outlineLevel="1" x14ac:dyDescent="0.35">
      <c r="A138" s="147">
        <v>83</v>
      </c>
      <c r="B138" s="211" t="s">
        <v>653</v>
      </c>
      <c r="C138" s="194" t="s">
        <v>471</v>
      </c>
      <c r="D138" s="173" t="s">
        <v>247</v>
      </c>
      <c r="E138" t="s">
        <v>324</v>
      </c>
      <c r="N138" s="148"/>
      <c r="O138" s="148"/>
      <c r="P138" s="197"/>
    </row>
    <row r="139" spans="1:16" ht="69.75" outlineLevel="1" x14ac:dyDescent="0.35">
      <c r="A139" s="147">
        <v>84</v>
      </c>
      <c r="B139" s="211" t="s">
        <v>654</v>
      </c>
      <c r="C139" s="194" t="s">
        <v>472</v>
      </c>
      <c r="D139" s="173" t="s">
        <v>248</v>
      </c>
      <c r="E139" t="s">
        <v>324</v>
      </c>
      <c r="N139" s="148"/>
      <c r="O139" s="148"/>
      <c r="P139" s="197"/>
    </row>
    <row r="140" spans="1:16" ht="58.5" outlineLevel="1" x14ac:dyDescent="0.35">
      <c r="A140" s="147">
        <v>85</v>
      </c>
      <c r="B140" s="211" t="s">
        <v>655</v>
      </c>
      <c r="C140" s="194" t="s">
        <v>473</v>
      </c>
      <c r="D140" s="173" t="s">
        <v>249</v>
      </c>
      <c r="E140" t="s">
        <v>324</v>
      </c>
      <c r="N140" s="148"/>
      <c r="O140" s="148"/>
      <c r="P140" s="197"/>
    </row>
    <row r="141" spans="1:16" ht="58.5" outlineLevel="1" x14ac:dyDescent="0.35">
      <c r="A141" s="147">
        <v>86</v>
      </c>
      <c r="B141" s="211" t="s">
        <v>656</v>
      </c>
      <c r="C141" s="194" t="s">
        <v>474</v>
      </c>
      <c r="D141" s="173" t="s">
        <v>250</v>
      </c>
      <c r="E141" t="s">
        <v>324</v>
      </c>
      <c r="N141" s="148"/>
      <c r="O141" s="148"/>
      <c r="P141" s="197"/>
    </row>
    <row r="142" spans="1:16" ht="69.75" outlineLevel="1" x14ac:dyDescent="0.35">
      <c r="A142" s="147">
        <v>87</v>
      </c>
      <c r="B142" s="211" t="s">
        <v>657</v>
      </c>
      <c r="C142" s="194" t="s">
        <v>475</v>
      </c>
      <c r="D142" s="173" t="s">
        <v>251</v>
      </c>
      <c r="E142" t="s">
        <v>324</v>
      </c>
      <c r="N142" s="148"/>
      <c r="O142" s="148"/>
      <c r="P142" s="197"/>
    </row>
    <row r="143" spans="1:16" ht="47.25" outlineLevel="1" x14ac:dyDescent="0.35">
      <c r="A143" s="147">
        <v>88</v>
      </c>
      <c r="B143" s="211" t="s">
        <v>658</v>
      </c>
      <c r="C143" s="194" t="s">
        <v>476</v>
      </c>
      <c r="D143" s="173" t="s">
        <v>252</v>
      </c>
      <c r="E143" t="s">
        <v>324</v>
      </c>
      <c r="N143" s="148"/>
      <c r="O143" s="148"/>
      <c r="P143" s="197"/>
    </row>
    <row r="144" spans="1:16" ht="47.25" outlineLevel="1" x14ac:dyDescent="0.35">
      <c r="A144" s="147">
        <v>89</v>
      </c>
      <c r="B144" s="211" t="s">
        <v>659</v>
      </c>
      <c r="C144" s="194" t="s">
        <v>477</v>
      </c>
      <c r="D144" s="173" t="s">
        <v>253</v>
      </c>
      <c r="E144" t="s">
        <v>324</v>
      </c>
      <c r="N144" s="148"/>
      <c r="O144" s="148"/>
      <c r="P144" s="197"/>
    </row>
    <row r="145" spans="1:16" ht="47.25" outlineLevel="1" x14ac:dyDescent="0.35">
      <c r="A145" s="147">
        <v>90</v>
      </c>
      <c r="B145" s="211" t="s">
        <v>660</v>
      </c>
      <c r="C145" s="194" t="s">
        <v>478</v>
      </c>
      <c r="D145" s="173" t="s">
        <v>254</v>
      </c>
      <c r="E145" t="s">
        <v>324</v>
      </c>
      <c r="N145" s="148"/>
      <c r="O145" s="148"/>
      <c r="P145" s="197"/>
    </row>
    <row r="146" spans="1:16" ht="58.5" outlineLevel="1" x14ac:dyDescent="0.35">
      <c r="A146" s="147">
        <v>91</v>
      </c>
      <c r="B146" s="211" t="s">
        <v>661</v>
      </c>
      <c r="C146" s="194" t="s">
        <v>479</v>
      </c>
      <c r="D146" s="173" t="s">
        <v>255</v>
      </c>
      <c r="E146" t="s">
        <v>324</v>
      </c>
      <c r="N146" s="148"/>
      <c r="O146" s="148"/>
      <c r="P146" s="197"/>
    </row>
    <row r="147" spans="1:16" ht="69.75" outlineLevel="1" x14ac:dyDescent="0.35">
      <c r="A147" s="147">
        <v>92</v>
      </c>
      <c r="B147" s="211" t="s">
        <v>662</v>
      </c>
      <c r="C147" s="194" t="s">
        <v>480</v>
      </c>
      <c r="D147" s="173" t="s">
        <v>256</v>
      </c>
      <c r="E147" t="s">
        <v>324</v>
      </c>
      <c r="N147" s="148"/>
      <c r="O147" s="148"/>
      <c r="P147" s="197"/>
    </row>
    <row r="148" spans="1:16" ht="69.75" outlineLevel="1" x14ac:dyDescent="0.35">
      <c r="A148" s="147">
        <v>93</v>
      </c>
      <c r="B148" s="211" t="s">
        <v>663</v>
      </c>
      <c r="C148" s="194" t="s">
        <v>481</v>
      </c>
      <c r="D148" s="173" t="s">
        <v>257</v>
      </c>
      <c r="E148" t="s">
        <v>324</v>
      </c>
      <c r="N148" s="148"/>
      <c r="O148" s="148"/>
      <c r="P148" s="197"/>
    </row>
    <row r="149" spans="1:16" ht="69.75" outlineLevel="1" x14ac:dyDescent="0.35">
      <c r="A149" s="147">
        <v>94</v>
      </c>
      <c r="B149" s="211" t="s">
        <v>664</v>
      </c>
      <c r="C149" s="194" t="s">
        <v>482</v>
      </c>
      <c r="D149" s="173" t="s">
        <v>258</v>
      </c>
      <c r="E149" t="s">
        <v>324</v>
      </c>
      <c r="N149" s="148"/>
      <c r="O149" s="148"/>
      <c r="P149" s="197"/>
    </row>
    <row r="150" spans="1:16" ht="69.75" outlineLevel="1" x14ac:dyDescent="0.35">
      <c r="A150" s="147">
        <v>95</v>
      </c>
      <c r="B150" s="211" t="s">
        <v>665</v>
      </c>
      <c r="C150" s="194" t="s">
        <v>483</v>
      </c>
      <c r="D150" s="173" t="s">
        <v>259</v>
      </c>
      <c r="E150" t="s">
        <v>324</v>
      </c>
      <c r="N150" s="148"/>
      <c r="O150" s="148"/>
      <c r="P150" s="197"/>
    </row>
    <row r="151" spans="1:16" ht="47.25" outlineLevel="1" x14ac:dyDescent="0.35">
      <c r="A151" s="147">
        <v>96</v>
      </c>
      <c r="B151" s="211" t="s">
        <v>666</v>
      </c>
      <c r="C151" s="194" t="s">
        <v>484</v>
      </c>
      <c r="D151" s="173" t="s">
        <v>260</v>
      </c>
      <c r="E151" t="s">
        <v>324</v>
      </c>
      <c r="N151" s="148"/>
      <c r="O151" s="148"/>
      <c r="P151" s="197"/>
    </row>
    <row r="152" spans="1:16" ht="36" outlineLevel="1" x14ac:dyDescent="0.35">
      <c r="A152" s="147">
        <v>97</v>
      </c>
      <c r="B152" s="211" t="s">
        <v>667</v>
      </c>
      <c r="C152" s="194" t="s">
        <v>485</v>
      </c>
      <c r="D152" s="173" t="s">
        <v>261</v>
      </c>
      <c r="E152" t="s">
        <v>324</v>
      </c>
      <c r="N152" s="148"/>
      <c r="O152" s="148"/>
      <c r="P152" s="197"/>
    </row>
    <row r="153" spans="1:16" ht="36" outlineLevel="1" x14ac:dyDescent="0.35">
      <c r="A153" s="147">
        <v>98</v>
      </c>
      <c r="B153" s="211" t="s">
        <v>668</v>
      </c>
      <c r="C153" s="194" t="s">
        <v>486</v>
      </c>
      <c r="D153" s="173" t="s">
        <v>262</v>
      </c>
      <c r="E153" t="s">
        <v>324</v>
      </c>
      <c r="N153" s="148"/>
      <c r="O153" s="148"/>
      <c r="P153" s="197"/>
    </row>
    <row r="154" spans="1:16" ht="36" outlineLevel="1" x14ac:dyDescent="0.35">
      <c r="A154" s="147">
        <v>99</v>
      </c>
      <c r="B154" s="211" t="s">
        <v>669</v>
      </c>
      <c r="C154" s="194" t="s">
        <v>487</v>
      </c>
      <c r="D154" s="173" t="s">
        <v>263</v>
      </c>
      <c r="E154" t="s">
        <v>324</v>
      </c>
      <c r="N154" s="148"/>
      <c r="O154" s="148"/>
      <c r="P154" s="197"/>
    </row>
    <row r="155" spans="1:16" ht="36" outlineLevel="1" x14ac:dyDescent="0.35">
      <c r="A155" s="147">
        <v>100</v>
      </c>
      <c r="B155" s="211" t="s">
        <v>670</v>
      </c>
      <c r="C155" s="194" t="s">
        <v>488</v>
      </c>
      <c r="D155" s="173" t="s">
        <v>264</v>
      </c>
      <c r="E155" t="s">
        <v>324</v>
      </c>
      <c r="N155" s="148"/>
      <c r="O155" s="148"/>
      <c r="P155" s="197"/>
    </row>
    <row r="156" spans="1:16" ht="69.75" outlineLevel="1" x14ac:dyDescent="0.35">
      <c r="A156" s="147">
        <v>101</v>
      </c>
      <c r="B156" s="211" t="s">
        <v>671</v>
      </c>
      <c r="C156" s="194" t="s">
        <v>489</v>
      </c>
      <c r="D156" s="173" t="s">
        <v>265</v>
      </c>
      <c r="E156" t="s">
        <v>324</v>
      </c>
      <c r="N156" s="148"/>
      <c r="O156" s="148"/>
      <c r="P156" s="197"/>
    </row>
    <row r="157" spans="1:16" ht="69.75" outlineLevel="1" x14ac:dyDescent="0.35">
      <c r="A157" s="147">
        <v>102</v>
      </c>
      <c r="B157" s="211" t="s">
        <v>672</v>
      </c>
      <c r="C157" s="194" t="s">
        <v>490</v>
      </c>
      <c r="D157" s="173" t="s">
        <v>266</v>
      </c>
      <c r="E157" t="s">
        <v>324</v>
      </c>
      <c r="N157" s="148"/>
      <c r="O157" s="148"/>
      <c r="P157" s="197"/>
    </row>
    <row r="158" spans="1:16" ht="36" outlineLevel="1" x14ac:dyDescent="0.35">
      <c r="A158" s="147">
        <v>103</v>
      </c>
      <c r="B158" s="211" t="s">
        <v>673</v>
      </c>
      <c r="C158" s="194" t="s">
        <v>491</v>
      </c>
      <c r="D158" s="173" t="s">
        <v>267</v>
      </c>
      <c r="E158" t="s">
        <v>324</v>
      </c>
      <c r="N158" s="148"/>
      <c r="O158" s="148"/>
      <c r="P158" s="197"/>
    </row>
    <row r="159" spans="1:16" ht="36" outlineLevel="1" x14ac:dyDescent="0.35">
      <c r="A159" s="147">
        <v>104</v>
      </c>
      <c r="B159" s="211" t="s">
        <v>674</v>
      </c>
      <c r="C159" s="194" t="s">
        <v>492</v>
      </c>
      <c r="D159" s="173" t="s">
        <v>268</v>
      </c>
      <c r="E159" t="s">
        <v>324</v>
      </c>
      <c r="N159" s="148"/>
      <c r="O159" s="148"/>
      <c r="P159" s="197"/>
    </row>
    <row r="160" spans="1:16" ht="36" outlineLevel="1" x14ac:dyDescent="0.35">
      <c r="A160" s="147">
        <v>105</v>
      </c>
      <c r="B160" s="211" t="s">
        <v>675</v>
      </c>
      <c r="C160" s="194" t="s">
        <v>493</v>
      </c>
      <c r="D160" s="173" t="s">
        <v>269</v>
      </c>
      <c r="E160" t="s">
        <v>324</v>
      </c>
      <c r="N160" s="148"/>
      <c r="O160" s="148"/>
      <c r="P160" s="197"/>
    </row>
    <row r="161" spans="1:16" ht="47.25" outlineLevel="1" x14ac:dyDescent="0.35">
      <c r="A161" s="147">
        <v>106</v>
      </c>
      <c r="B161" s="211" t="s">
        <v>676</v>
      </c>
      <c r="C161" s="194" t="s">
        <v>494</v>
      </c>
      <c r="D161" s="173" t="s">
        <v>270</v>
      </c>
      <c r="E161" t="s">
        <v>324</v>
      </c>
      <c r="N161" s="148"/>
      <c r="O161" s="148"/>
      <c r="P161" s="197"/>
    </row>
    <row r="162" spans="1:16" ht="36" outlineLevel="1" x14ac:dyDescent="0.35">
      <c r="A162" s="147">
        <v>107</v>
      </c>
      <c r="B162" s="211" t="s">
        <v>677</v>
      </c>
      <c r="C162" s="194" t="s">
        <v>495</v>
      </c>
      <c r="D162" s="173" t="s">
        <v>271</v>
      </c>
      <c r="E162" t="s">
        <v>324</v>
      </c>
      <c r="N162" s="148"/>
      <c r="O162" s="148"/>
      <c r="P162" s="197"/>
    </row>
    <row r="163" spans="1:16" ht="81" outlineLevel="1" x14ac:dyDescent="0.35">
      <c r="A163" s="147">
        <v>108</v>
      </c>
      <c r="B163" s="211" t="s">
        <v>678</v>
      </c>
      <c r="C163" s="194" t="s">
        <v>496</v>
      </c>
      <c r="D163" s="173" t="s">
        <v>272</v>
      </c>
      <c r="E163" t="s">
        <v>324</v>
      </c>
      <c r="N163" s="148"/>
      <c r="O163" s="148"/>
      <c r="P163" s="197"/>
    </row>
    <row r="164" spans="1:16" ht="81" outlineLevel="1" x14ac:dyDescent="0.35">
      <c r="A164" s="147">
        <v>109</v>
      </c>
      <c r="B164" s="211" t="s">
        <v>679</v>
      </c>
      <c r="C164" s="194" t="s">
        <v>497</v>
      </c>
      <c r="D164" s="173" t="s">
        <v>273</v>
      </c>
      <c r="E164" t="s">
        <v>324</v>
      </c>
      <c r="N164" s="148"/>
      <c r="O164" s="148"/>
      <c r="P164" s="197"/>
    </row>
    <row r="165" spans="1:16" ht="58.5" outlineLevel="1" x14ac:dyDescent="0.35">
      <c r="A165" s="147">
        <v>110</v>
      </c>
      <c r="B165" s="211" t="s">
        <v>680</v>
      </c>
      <c r="C165" s="194" t="s">
        <v>498</v>
      </c>
      <c r="D165" s="173" t="s">
        <v>274</v>
      </c>
      <c r="E165" t="s">
        <v>324</v>
      </c>
      <c r="N165" s="148"/>
      <c r="O165" s="148"/>
      <c r="P165" s="197"/>
    </row>
    <row r="166" spans="1:16" ht="58.5" outlineLevel="1" x14ac:dyDescent="0.35">
      <c r="A166" s="147">
        <v>111</v>
      </c>
      <c r="B166" s="211" t="s">
        <v>681</v>
      </c>
      <c r="C166" s="194" t="s">
        <v>499</v>
      </c>
      <c r="D166" s="173" t="s">
        <v>275</v>
      </c>
      <c r="E166" t="s">
        <v>324</v>
      </c>
      <c r="N166" s="148"/>
      <c r="O166" s="148"/>
      <c r="P166" s="197"/>
    </row>
    <row r="167" spans="1:16" ht="23.25" outlineLevel="1" x14ac:dyDescent="0.35">
      <c r="A167" s="147">
        <v>112</v>
      </c>
      <c r="B167" s="211" t="s">
        <v>682</v>
      </c>
      <c r="C167" s="194" t="s">
        <v>500</v>
      </c>
      <c r="D167" s="173" t="s">
        <v>276</v>
      </c>
      <c r="E167" t="s">
        <v>324</v>
      </c>
      <c r="N167" s="148"/>
      <c r="O167" s="148"/>
      <c r="P167" s="197"/>
    </row>
    <row r="168" spans="1:16" ht="36" outlineLevel="1" x14ac:dyDescent="0.35">
      <c r="A168" s="147">
        <v>113</v>
      </c>
      <c r="B168" s="211" t="s">
        <v>683</v>
      </c>
      <c r="C168" s="194" t="s">
        <v>501</v>
      </c>
      <c r="D168" s="173" t="s">
        <v>277</v>
      </c>
      <c r="E168" t="s">
        <v>324</v>
      </c>
      <c r="N168" s="148"/>
      <c r="O168" s="148"/>
      <c r="P168" s="197"/>
    </row>
    <row r="169" spans="1:16" ht="36" outlineLevel="1" x14ac:dyDescent="0.35">
      <c r="A169" s="147">
        <v>114</v>
      </c>
      <c r="B169" s="211" t="s">
        <v>684</v>
      </c>
      <c r="C169" s="194" t="s">
        <v>502</v>
      </c>
      <c r="D169" s="173" t="s">
        <v>278</v>
      </c>
      <c r="E169" t="s">
        <v>324</v>
      </c>
      <c r="N169" s="148"/>
      <c r="O169" s="148"/>
      <c r="P169" s="197"/>
    </row>
    <row r="170" spans="1:16" ht="58.5" outlineLevel="1" x14ac:dyDescent="0.35">
      <c r="A170" s="147">
        <v>115</v>
      </c>
      <c r="B170" s="211" t="s">
        <v>685</v>
      </c>
      <c r="C170" s="194" t="s">
        <v>503</v>
      </c>
      <c r="D170" s="173" t="s">
        <v>279</v>
      </c>
      <c r="E170" t="s">
        <v>324</v>
      </c>
      <c r="N170" s="148"/>
      <c r="O170" s="148"/>
      <c r="P170" s="197"/>
    </row>
    <row r="171" spans="1:16" ht="36" outlineLevel="1" x14ac:dyDescent="0.35">
      <c r="A171" s="147">
        <v>116</v>
      </c>
      <c r="B171" s="211" t="s">
        <v>686</v>
      </c>
      <c r="C171" s="194" t="s">
        <v>504</v>
      </c>
      <c r="D171" s="173" t="s">
        <v>280</v>
      </c>
      <c r="E171" t="s">
        <v>324</v>
      </c>
      <c r="N171" s="148"/>
      <c r="O171" s="148"/>
      <c r="P171" s="197"/>
    </row>
    <row r="172" spans="1:16" ht="36" outlineLevel="1" x14ac:dyDescent="0.35">
      <c r="A172" s="147">
        <v>117</v>
      </c>
      <c r="B172" s="211" t="s">
        <v>687</v>
      </c>
      <c r="C172" s="194" t="s">
        <v>505</v>
      </c>
      <c r="D172" s="173" t="s">
        <v>281</v>
      </c>
      <c r="E172" t="s">
        <v>324</v>
      </c>
      <c r="N172" s="148"/>
      <c r="O172" s="148"/>
      <c r="P172" s="197"/>
    </row>
    <row r="173" spans="1:16" ht="36" outlineLevel="1" x14ac:dyDescent="0.35">
      <c r="A173" s="147">
        <v>118</v>
      </c>
      <c r="B173" s="211" t="s">
        <v>688</v>
      </c>
      <c r="C173" s="194" t="s">
        <v>506</v>
      </c>
      <c r="D173" s="173" t="s">
        <v>282</v>
      </c>
      <c r="E173" t="s">
        <v>324</v>
      </c>
      <c r="N173" s="148"/>
      <c r="O173" s="148"/>
      <c r="P173" s="197"/>
    </row>
    <row r="174" spans="1:16" ht="36" outlineLevel="1" x14ac:dyDescent="0.35">
      <c r="A174" s="147">
        <v>119</v>
      </c>
      <c r="B174" s="211" t="s">
        <v>689</v>
      </c>
      <c r="C174" s="194" t="s">
        <v>507</v>
      </c>
      <c r="D174" s="173" t="s">
        <v>283</v>
      </c>
      <c r="E174" t="s">
        <v>324</v>
      </c>
      <c r="N174" s="148"/>
      <c r="O174" s="148"/>
      <c r="P174" s="197"/>
    </row>
    <row r="175" spans="1:16" ht="58.5" outlineLevel="1" x14ac:dyDescent="0.35">
      <c r="A175" s="147">
        <v>120</v>
      </c>
      <c r="B175" s="211" t="s">
        <v>690</v>
      </c>
      <c r="C175" s="194" t="s">
        <v>508</v>
      </c>
      <c r="D175" s="173" t="s">
        <v>284</v>
      </c>
      <c r="E175" t="s">
        <v>324</v>
      </c>
      <c r="N175" s="148"/>
      <c r="O175" s="148"/>
      <c r="P175" s="197"/>
    </row>
    <row r="176" spans="1:16" ht="24.75" outlineLevel="1" x14ac:dyDescent="0.35">
      <c r="A176" s="147">
        <v>121</v>
      </c>
      <c r="B176" s="211" t="s">
        <v>691</v>
      </c>
      <c r="C176" s="194" t="s">
        <v>509</v>
      </c>
      <c r="D176" s="173" t="s">
        <v>285</v>
      </c>
      <c r="E176" t="s">
        <v>324</v>
      </c>
      <c r="N176" s="148"/>
      <c r="O176" s="148"/>
      <c r="P176" s="197"/>
    </row>
    <row r="177" spans="1:16" ht="24.75" outlineLevel="1" x14ac:dyDescent="0.35">
      <c r="A177" s="147">
        <v>122</v>
      </c>
      <c r="B177" s="211" t="s">
        <v>692</v>
      </c>
      <c r="C177" s="194" t="s">
        <v>510</v>
      </c>
      <c r="D177" s="173" t="s">
        <v>285</v>
      </c>
      <c r="E177" t="s">
        <v>324</v>
      </c>
      <c r="N177" s="148"/>
      <c r="O177" s="148"/>
      <c r="P177" s="197"/>
    </row>
    <row r="178" spans="1:16" ht="47.25" outlineLevel="1" x14ac:dyDescent="0.35">
      <c r="A178" s="147">
        <v>123</v>
      </c>
      <c r="B178" s="211" t="s">
        <v>693</v>
      </c>
      <c r="C178" s="194" t="s">
        <v>511</v>
      </c>
      <c r="D178" s="173" t="s">
        <v>286</v>
      </c>
      <c r="E178" t="s">
        <v>324</v>
      </c>
      <c r="N178" s="148"/>
      <c r="O178" s="148"/>
      <c r="P178" s="197"/>
    </row>
    <row r="179" spans="1:16" ht="47.25" outlineLevel="1" x14ac:dyDescent="0.35">
      <c r="A179" s="147">
        <v>124</v>
      </c>
      <c r="B179" s="211" t="s">
        <v>694</v>
      </c>
      <c r="C179" s="194" t="s">
        <v>512</v>
      </c>
      <c r="D179" s="173" t="s">
        <v>286</v>
      </c>
      <c r="E179" t="s">
        <v>324</v>
      </c>
      <c r="N179" s="148"/>
      <c r="O179" s="148"/>
      <c r="P179" s="197"/>
    </row>
    <row r="180" spans="1:16" ht="47.25" outlineLevel="1" x14ac:dyDescent="0.35">
      <c r="A180" s="147">
        <v>125</v>
      </c>
      <c r="B180" s="211" t="s">
        <v>695</v>
      </c>
      <c r="C180" s="194" t="s">
        <v>513</v>
      </c>
      <c r="D180" s="173" t="s">
        <v>287</v>
      </c>
      <c r="E180" t="s">
        <v>324</v>
      </c>
      <c r="N180" s="148"/>
      <c r="O180" s="148"/>
      <c r="P180" s="197"/>
    </row>
    <row r="181" spans="1:16" ht="69.75" outlineLevel="1" x14ac:dyDescent="0.35">
      <c r="A181" s="147">
        <v>126</v>
      </c>
      <c r="B181" s="211" t="s">
        <v>696</v>
      </c>
      <c r="C181" s="194" t="s">
        <v>514</v>
      </c>
      <c r="D181" s="173" t="s">
        <v>288</v>
      </c>
      <c r="E181" t="s">
        <v>324</v>
      </c>
      <c r="N181" s="148"/>
      <c r="O181" s="148"/>
      <c r="P181" s="197"/>
    </row>
    <row r="182" spans="1:16" ht="69.75" outlineLevel="1" x14ac:dyDescent="0.35">
      <c r="A182" s="147">
        <v>127</v>
      </c>
      <c r="B182" s="211" t="s">
        <v>697</v>
      </c>
      <c r="C182" s="194" t="s">
        <v>515</v>
      </c>
      <c r="D182" s="173" t="s">
        <v>289</v>
      </c>
      <c r="E182" t="s">
        <v>324</v>
      </c>
      <c r="N182" s="148"/>
      <c r="O182" s="148"/>
      <c r="P182" s="197"/>
    </row>
    <row r="183" spans="1:16" ht="69.75" outlineLevel="1" x14ac:dyDescent="0.35">
      <c r="A183" s="147">
        <v>128</v>
      </c>
      <c r="B183" s="211" t="s">
        <v>698</v>
      </c>
      <c r="C183" s="194" t="s">
        <v>516</v>
      </c>
      <c r="D183" s="173" t="s">
        <v>290</v>
      </c>
      <c r="E183" t="s">
        <v>324</v>
      </c>
      <c r="N183" s="148"/>
      <c r="O183" s="148"/>
      <c r="P183" s="197"/>
    </row>
    <row r="184" spans="1:16" ht="36" outlineLevel="1" x14ac:dyDescent="0.35">
      <c r="A184" s="147">
        <v>129</v>
      </c>
      <c r="B184" s="211" t="s">
        <v>699</v>
      </c>
      <c r="C184" s="194" t="s">
        <v>517</v>
      </c>
      <c r="D184" s="173" t="s">
        <v>291</v>
      </c>
      <c r="E184" t="s">
        <v>324</v>
      </c>
      <c r="N184" s="148"/>
      <c r="O184" s="148"/>
      <c r="P184" s="197"/>
    </row>
    <row r="185" spans="1:16" ht="58.5" outlineLevel="1" x14ac:dyDescent="0.35">
      <c r="A185" s="147">
        <v>130</v>
      </c>
      <c r="B185" s="211" t="s">
        <v>700</v>
      </c>
      <c r="C185" s="194" t="s">
        <v>518</v>
      </c>
      <c r="D185" s="173" t="s">
        <v>292</v>
      </c>
      <c r="E185" t="s">
        <v>324</v>
      </c>
      <c r="N185" s="148"/>
      <c r="O185" s="148"/>
      <c r="P185" s="197"/>
    </row>
    <row r="186" spans="1:16" ht="58.5" outlineLevel="1" x14ac:dyDescent="0.35">
      <c r="A186" s="147">
        <v>131</v>
      </c>
      <c r="B186" s="211" t="s">
        <v>701</v>
      </c>
      <c r="C186" s="194" t="s">
        <v>519</v>
      </c>
      <c r="D186" s="173" t="s">
        <v>293</v>
      </c>
      <c r="E186" t="s">
        <v>324</v>
      </c>
      <c r="N186" s="148"/>
      <c r="O186" s="148"/>
      <c r="P186" s="197"/>
    </row>
    <row r="187" spans="1:16" ht="47.25" outlineLevel="1" x14ac:dyDescent="0.35">
      <c r="A187" s="147">
        <v>132</v>
      </c>
      <c r="B187" s="211" t="s">
        <v>702</v>
      </c>
      <c r="C187" s="194" t="s">
        <v>520</v>
      </c>
      <c r="D187" s="173" t="s">
        <v>294</v>
      </c>
      <c r="E187" t="s">
        <v>324</v>
      </c>
      <c r="N187" s="148"/>
      <c r="O187" s="148"/>
      <c r="P187" s="197"/>
    </row>
    <row r="188" spans="1:16" ht="58.5" outlineLevel="1" x14ac:dyDescent="0.35">
      <c r="A188" s="147">
        <v>133</v>
      </c>
      <c r="B188" s="211" t="s">
        <v>703</v>
      </c>
      <c r="C188" s="194" t="s">
        <v>521</v>
      </c>
      <c r="D188" s="173" t="s">
        <v>295</v>
      </c>
      <c r="E188" t="s">
        <v>324</v>
      </c>
      <c r="N188" s="148"/>
      <c r="O188" s="148"/>
      <c r="P188" s="197"/>
    </row>
    <row r="189" spans="1:16" ht="58.5" outlineLevel="1" x14ac:dyDescent="0.35">
      <c r="A189" s="147">
        <v>134</v>
      </c>
      <c r="B189" s="211" t="s">
        <v>704</v>
      </c>
      <c r="C189" s="194" t="s">
        <v>522</v>
      </c>
      <c r="D189" s="173" t="s">
        <v>296</v>
      </c>
      <c r="E189" t="s">
        <v>324</v>
      </c>
      <c r="N189" s="148"/>
      <c r="O189" s="148"/>
      <c r="P189" s="197"/>
    </row>
    <row r="190" spans="1:16" ht="47.25" outlineLevel="1" x14ac:dyDescent="0.35">
      <c r="A190" s="147">
        <v>135</v>
      </c>
      <c r="B190" s="211" t="s">
        <v>705</v>
      </c>
      <c r="C190" s="194" t="s">
        <v>523</v>
      </c>
      <c r="D190" s="173" t="s">
        <v>297</v>
      </c>
      <c r="E190" t="s">
        <v>324</v>
      </c>
      <c r="N190" s="148"/>
      <c r="O190" s="148"/>
      <c r="P190" s="197"/>
    </row>
    <row r="191" spans="1:16" ht="24.75" outlineLevel="1" x14ac:dyDescent="0.35">
      <c r="A191" s="147">
        <v>136</v>
      </c>
      <c r="B191" s="211" t="s">
        <v>706</v>
      </c>
      <c r="C191" s="194" t="s">
        <v>524</v>
      </c>
      <c r="D191" s="173" t="s">
        <v>298</v>
      </c>
      <c r="E191" t="s">
        <v>324</v>
      </c>
      <c r="N191" s="148"/>
      <c r="O191" s="148"/>
      <c r="P191" s="197"/>
    </row>
    <row r="192" spans="1:16" ht="36" outlineLevel="1" x14ac:dyDescent="0.35">
      <c r="A192" s="147">
        <v>137</v>
      </c>
      <c r="B192" s="211" t="s">
        <v>707</v>
      </c>
      <c r="C192" s="194" t="s">
        <v>525</v>
      </c>
      <c r="D192" s="173" t="s">
        <v>299</v>
      </c>
      <c r="E192" t="s">
        <v>324</v>
      </c>
      <c r="N192" s="148"/>
      <c r="O192" s="148"/>
      <c r="P192" s="197"/>
    </row>
    <row r="193" spans="1:16" ht="36" outlineLevel="1" x14ac:dyDescent="0.35">
      <c r="A193" s="147">
        <v>138</v>
      </c>
      <c r="B193" s="211" t="s">
        <v>708</v>
      </c>
      <c r="C193" s="194" t="s">
        <v>526</v>
      </c>
      <c r="D193" s="173" t="s">
        <v>300</v>
      </c>
      <c r="E193" t="s">
        <v>324</v>
      </c>
      <c r="N193" s="148"/>
      <c r="O193" s="148"/>
      <c r="P193" s="197"/>
    </row>
    <row r="194" spans="1:16" ht="36" outlineLevel="1" x14ac:dyDescent="0.35">
      <c r="A194" s="147">
        <v>139</v>
      </c>
      <c r="B194" s="211" t="s">
        <v>709</v>
      </c>
      <c r="C194" s="194" t="s">
        <v>527</v>
      </c>
      <c r="D194" s="173" t="s">
        <v>301</v>
      </c>
      <c r="E194" t="s">
        <v>324</v>
      </c>
      <c r="N194" s="148"/>
      <c r="O194" s="148"/>
      <c r="P194" s="197"/>
    </row>
    <row r="195" spans="1:16" ht="47.25" outlineLevel="1" x14ac:dyDescent="0.35">
      <c r="A195" s="147">
        <v>140</v>
      </c>
      <c r="B195" s="211" t="s">
        <v>710</v>
      </c>
      <c r="C195" s="194" t="s">
        <v>528</v>
      </c>
      <c r="D195" s="173" t="s">
        <v>302</v>
      </c>
      <c r="E195" t="s">
        <v>324</v>
      </c>
      <c r="N195" s="148"/>
      <c r="O195" s="148"/>
      <c r="P195" s="197"/>
    </row>
    <row r="196" spans="1:16" ht="36" outlineLevel="1" x14ac:dyDescent="0.35">
      <c r="A196" s="147">
        <v>141</v>
      </c>
      <c r="B196" s="211" t="s">
        <v>711</v>
      </c>
      <c r="C196" s="194" t="s">
        <v>529</v>
      </c>
      <c r="D196" s="173" t="s">
        <v>303</v>
      </c>
      <c r="E196" t="s">
        <v>324</v>
      </c>
      <c r="N196" s="148"/>
      <c r="O196" s="148"/>
      <c r="P196" s="197"/>
    </row>
    <row r="197" spans="1:16" ht="36" outlineLevel="1" x14ac:dyDescent="0.35">
      <c r="A197" s="147">
        <v>142</v>
      </c>
      <c r="B197" s="211" t="s">
        <v>712</v>
      </c>
      <c r="C197" s="194" t="s">
        <v>530</v>
      </c>
      <c r="D197" s="173" t="s">
        <v>304</v>
      </c>
      <c r="E197" t="s">
        <v>324</v>
      </c>
      <c r="N197" s="148"/>
      <c r="O197" s="148"/>
      <c r="P197" s="197"/>
    </row>
    <row r="198" spans="1:16" ht="24.75" outlineLevel="1" x14ac:dyDescent="0.35">
      <c r="A198" s="147">
        <v>143</v>
      </c>
      <c r="B198" s="211" t="s">
        <v>713</v>
      </c>
      <c r="C198" s="194" t="s">
        <v>560</v>
      </c>
      <c r="D198" s="173" t="s">
        <v>561</v>
      </c>
      <c r="E198" t="s">
        <v>324</v>
      </c>
      <c r="N198" s="148"/>
      <c r="O198" s="148"/>
      <c r="P198" s="197"/>
    </row>
    <row r="199" spans="1:16" ht="36" outlineLevel="1" x14ac:dyDescent="0.35">
      <c r="A199" s="147">
        <v>144</v>
      </c>
      <c r="B199" s="211" t="s">
        <v>714</v>
      </c>
      <c r="C199" s="194" t="s">
        <v>531</v>
      </c>
      <c r="D199" s="173" t="s">
        <v>305</v>
      </c>
      <c r="E199" t="s">
        <v>324</v>
      </c>
      <c r="N199" s="148"/>
      <c r="O199" s="148"/>
      <c r="P199" s="197"/>
    </row>
    <row r="200" spans="1:16" ht="36" outlineLevel="1" x14ac:dyDescent="0.35">
      <c r="A200" s="147">
        <v>145</v>
      </c>
      <c r="B200" s="211" t="s">
        <v>715</v>
      </c>
      <c r="C200" s="194" t="s">
        <v>532</v>
      </c>
      <c r="D200" s="173" t="s">
        <v>306</v>
      </c>
      <c r="E200" t="s">
        <v>324</v>
      </c>
      <c r="N200" s="148"/>
      <c r="O200" s="148"/>
      <c r="P200" s="197"/>
    </row>
    <row r="201" spans="1:16" ht="24.75" outlineLevel="1" x14ac:dyDescent="0.35">
      <c r="A201" s="147">
        <v>146</v>
      </c>
      <c r="B201" s="211" t="s">
        <v>716</v>
      </c>
      <c r="C201" s="194" t="s">
        <v>533</v>
      </c>
      <c r="D201" s="173" t="s">
        <v>307</v>
      </c>
      <c r="E201" t="s">
        <v>324</v>
      </c>
      <c r="N201" s="148"/>
      <c r="O201" s="148"/>
      <c r="P201" s="197"/>
    </row>
    <row r="202" spans="1:16" ht="24.75" outlineLevel="1" x14ac:dyDescent="0.35">
      <c r="A202" s="147">
        <v>147</v>
      </c>
      <c r="B202" s="211" t="s">
        <v>717</v>
      </c>
      <c r="C202" s="194" t="s">
        <v>534</v>
      </c>
      <c r="D202" s="173" t="s">
        <v>308</v>
      </c>
      <c r="E202" t="s">
        <v>324</v>
      </c>
      <c r="N202" s="148"/>
      <c r="O202" s="148"/>
      <c r="P202" s="197"/>
    </row>
    <row r="203" spans="1:16" ht="47.25" outlineLevel="1" x14ac:dyDescent="0.35">
      <c r="A203" s="147">
        <v>148</v>
      </c>
      <c r="B203" s="211" t="s">
        <v>718</v>
      </c>
      <c r="C203" s="194" t="s">
        <v>535</v>
      </c>
      <c r="D203" s="173" t="s">
        <v>309</v>
      </c>
      <c r="E203" t="s">
        <v>324</v>
      </c>
      <c r="N203" s="148"/>
      <c r="O203" s="148"/>
      <c r="P203" s="197"/>
    </row>
    <row r="204" spans="1:16" ht="47.25" outlineLevel="1" x14ac:dyDescent="0.35">
      <c r="A204" s="147">
        <v>149</v>
      </c>
      <c r="B204" s="211" t="s">
        <v>719</v>
      </c>
      <c r="C204" s="194" t="s">
        <v>536</v>
      </c>
      <c r="D204" s="173" t="s">
        <v>310</v>
      </c>
      <c r="E204" t="s">
        <v>324</v>
      </c>
      <c r="N204" s="148"/>
      <c r="O204" s="148"/>
      <c r="P204" s="197"/>
    </row>
    <row r="205" spans="1:16" ht="58.5" outlineLevel="1" x14ac:dyDescent="0.35">
      <c r="A205" s="147">
        <v>150</v>
      </c>
      <c r="B205" s="211" t="s">
        <v>720</v>
      </c>
      <c r="C205" s="194" t="s">
        <v>537</v>
      </c>
      <c r="D205" s="173" t="s">
        <v>311</v>
      </c>
      <c r="E205" t="s">
        <v>324</v>
      </c>
      <c r="N205" s="148"/>
      <c r="O205" s="148"/>
      <c r="P205" s="197"/>
    </row>
    <row r="206" spans="1:16" ht="58.5" outlineLevel="1" x14ac:dyDescent="0.35">
      <c r="A206" s="147">
        <v>151</v>
      </c>
      <c r="B206" s="211" t="s">
        <v>721</v>
      </c>
      <c r="C206" s="194" t="s">
        <v>538</v>
      </c>
      <c r="D206" s="173" t="s">
        <v>312</v>
      </c>
      <c r="E206" t="s">
        <v>324</v>
      </c>
      <c r="N206" s="148"/>
      <c r="O206" s="148"/>
      <c r="P206" s="197"/>
    </row>
    <row r="207" spans="1:16" ht="47.25" outlineLevel="1" x14ac:dyDescent="0.35">
      <c r="A207" s="147">
        <v>152</v>
      </c>
      <c r="B207" s="211" t="s">
        <v>722</v>
      </c>
      <c r="C207" s="194" t="s">
        <v>539</v>
      </c>
      <c r="D207" s="173" t="s">
        <v>313</v>
      </c>
      <c r="E207" t="s">
        <v>324</v>
      </c>
      <c r="N207" s="148"/>
      <c r="O207" s="148"/>
      <c r="P207" s="197"/>
    </row>
    <row r="208" spans="1:16" ht="24.75" outlineLevel="1" x14ac:dyDescent="0.35">
      <c r="A208" s="147">
        <v>153</v>
      </c>
      <c r="B208" s="211" t="s">
        <v>723</v>
      </c>
      <c r="C208" s="194" t="s">
        <v>540</v>
      </c>
      <c r="D208" s="173" t="s">
        <v>314</v>
      </c>
      <c r="E208" t="s">
        <v>324</v>
      </c>
      <c r="N208" s="148"/>
      <c r="O208" s="148"/>
      <c r="P208" s="197"/>
    </row>
    <row r="209" spans="1:16" ht="24.75" outlineLevel="1" x14ac:dyDescent="0.35">
      <c r="A209" s="147">
        <v>154</v>
      </c>
      <c r="B209" s="211" t="s">
        <v>724</v>
      </c>
      <c r="C209" s="194" t="s">
        <v>541</v>
      </c>
      <c r="D209" s="173" t="s">
        <v>314</v>
      </c>
      <c r="E209" t="s">
        <v>324</v>
      </c>
      <c r="N209" s="148"/>
      <c r="O209" s="148"/>
      <c r="P209" s="197"/>
    </row>
    <row r="210" spans="1:16" ht="69.75" outlineLevel="1" x14ac:dyDescent="0.35">
      <c r="A210" s="147">
        <v>155</v>
      </c>
      <c r="B210" s="211" t="s">
        <v>725</v>
      </c>
      <c r="C210" s="194" t="s">
        <v>542</v>
      </c>
      <c r="D210" s="173" t="s">
        <v>315</v>
      </c>
      <c r="E210" t="s">
        <v>324</v>
      </c>
      <c r="N210" s="148"/>
      <c r="O210" s="148"/>
      <c r="P210" s="197"/>
    </row>
    <row r="211" spans="1:16" ht="36" outlineLevel="1" x14ac:dyDescent="0.35">
      <c r="A211" s="147">
        <v>156</v>
      </c>
      <c r="B211" s="211" t="s">
        <v>726</v>
      </c>
      <c r="C211" s="194" t="s">
        <v>543</v>
      </c>
      <c r="D211" s="173" t="s">
        <v>316</v>
      </c>
      <c r="E211" t="s">
        <v>324</v>
      </c>
      <c r="N211" s="148"/>
      <c r="O211" s="148"/>
      <c r="P211" s="197"/>
    </row>
    <row r="212" spans="1:16" ht="47.25" outlineLevel="1" x14ac:dyDescent="0.35">
      <c r="A212" s="147">
        <v>157</v>
      </c>
      <c r="B212" s="211" t="s">
        <v>727</v>
      </c>
      <c r="C212" s="194" t="s">
        <v>544</v>
      </c>
      <c r="D212" s="173" t="s">
        <v>317</v>
      </c>
      <c r="E212" t="s">
        <v>324</v>
      </c>
      <c r="N212" s="148"/>
      <c r="O212" s="148"/>
      <c r="P212" s="197"/>
    </row>
    <row r="213" spans="1:16" ht="58.5" outlineLevel="1" x14ac:dyDescent="0.35">
      <c r="A213" s="147">
        <v>158</v>
      </c>
      <c r="B213" s="211" t="s">
        <v>728</v>
      </c>
      <c r="C213" s="194" t="s">
        <v>545</v>
      </c>
      <c r="D213" s="173" t="s">
        <v>318</v>
      </c>
      <c r="E213" t="s">
        <v>324</v>
      </c>
      <c r="N213" s="148"/>
      <c r="O213" s="148"/>
      <c r="P213" s="197"/>
    </row>
    <row r="214" spans="1:16" ht="58.5" outlineLevel="1" x14ac:dyDescent="0.35">
      <c r="A214" s="147">
        <v>159</v>
      </c>
      <c r="B214" s="211" t="s">
        <v>729</v>
      </c>
      <c r="C214" s="194" t="s">
        <v>546</v>
      </c>
      <c r="D214" s="173" t="s">
        <v>319</v>
      </c>
      <c r="E214" t="s">
        <v>324</v>
      </c>
      <c r="N214" s="148"/>
      <c r="O214" s="148"/>
      <c r="P214" s="197"/>
    </row>
    <row r="215" spans="1:16" ht="47.25" outlineLevel="1" x14ac:dyDescent="0.35">
      <c r="A215" s="147">
        <v>160</v>
      </c>
      <c r="B215" s="211" t="s">
        <v>730</v>
      </c>
      <c r="C215" s="194" t="s">
        <v>547</v>
      </c>
      <c r="D215" s="173" t="s">
        <v>320</v>
      </c>
      <c r="E215" t="s">
        <v>324</v>
      </c>
      <c r="N215" s="148"/>
      <c r="O215" s="148"/>
      <c r="P215" s="197"/>
    </row>
    <row r="216" spans="1:16" ht="58.5" outlineLevel="1" x14ac:dyDescent="0.35">
      <c r="A216" s="147">
        <v>161</v>
      </c>
      <c r="B216" s="211" t="s">
        <v>731</v>
      </c>
      <c r="C216" s="194" t="s">
        <v>548</v>
      </c>
      <c r="D216" s="173" t="s">
        <v>321</v>
      </c>
      <c r="E216" t="s">
        <v>324</v>
      </c>
      <c r="N216" s="148"/>
      <c r="O216" s="148"/>
      <c r="P216" s="197"/>
    </row>
    <row r="217" spans="1:16" ht="23.25" outlineLevel="1" x14ac:dyDescent="0.35">
      <c r="A217" s="147">
        <v>162</v>
      </c>
      <c r="B217" s="211" t="s">
        <v>732</v>
      </c>
      <c r="C217" s="194" t="s">
        <v>549</v>
      </c>
      <c r="D217" s="173" t="s">
        <v>322</v>
      </c>
      <c r="E217" t="s">
        <v>324</v>
      </c>
      <c r="N217" s="148"/>
      <c r="O217" s="148"/>
      <c r="P217" s="197"/>
    </row>
    <row r="218" spans="1:16" ht="24.75" outlineLevel="1" x14ac:dyDescent="0.35">
      <c r="A218" s="147">
        <v>163</v>
      </c>
      <c r="B218" s="211" t="s">
        <v>733</v>
      </c>
      <c r="C218" s="194" t="s">
        <v>550</v>
      </c>
      <c r="D218" s="173" t="s">
        <v>314</v>
      </c>
      <c r="E218" t="s">
        <v>324</v>
      </c>
      <c r="N218" s="148"/>
      <c r="O218" s="148"/>
      <c r="P218" s="197"/>
    </row>
    <row r="219" spans="1:16" ht="24.75" outlineLevel="1" x14ac:dyDescent="0.35">
      <c r="A219" s="147">
        <v>164</v>
      </c>
      <c r="B219" s="211" t="s">
        <v>734</v>
      </c>
      <c r="C219" s="194" t="s">
        <v>551</v>
      </c>
      <c r="D219" s="173" t="s">
        <v>314</v>
      </c>
      <c r="E219" t="s">
        <v>324</v>
      </c>
      <c r="N219" s="148"/>
      <c r="O219" s="148"/>
      <c r="P219" s="197"/>
    </row>
    <row r="220" spans="1:16" ht="23.25" outlineLevel="1" x14ac:dyDescent="0.35">
      <c r="A220" s="147">
        <v>165</v>
      </c>
      <c r="B220" s="211" t="s">
        <v>735</v>
      </c>
      <c r="C220" s="194" t="s">
        <v>411</v>
      </c>
      <c r="D220" s="173">
        <v>0</v>
      </c>
      <c r="E220" t="s">
        <v>325</v>
      </c>
      <c r="N220" s="148"/>
      <c r="O220" s="148"/>
      <c r="P220" s="197"/>
    </row>
    <row r="221" spans="1:16" ht="23.25" outlineLevel="1" x14ac:dyDescent="0.35">
      <c r="A221" s="147">
        <v>166</v>
      </c>
      <c r="B221" s="211" t="s">
        <v>736</v>
      </c>
      <c r="C221" s="194" t="s">
        <v>411</v>
      </c>
      <c r="D221" s="173">
        <v>0</v>
      </c>
      <c r="E221" t="s">
        <v>325</v>
      </c>
      <c r="N221" s="148"/>
      <c r="O221" s="148"/>
      <c r="P221" s="197"/>
    </row>
    <row r="222" spans="1:16" ht="23.25" outlineLevel="1" x14ac:dyDescent="0.35">
      <c r="A222" s="147">
        <v>167</v>
      </c>
      <c r="B222" s="211" t="s">
        <v>737</v>
      </c>
      <c r="C222" s="194" t="s">
        <v>411</v>
      </c>
      <c r="D222" s="173">
        <v>0</v>
      </c>
      <c r="E222" t="s">
        <v>325</v>
      </c>
      <c r="N222" s="148"/>
      <c r="O222" s="148"/>
      <c r="P222" s="197"/>
    </row>
    <row r="223" spans="1:16" ht="24.75" outlineLevel="1" x14ac:dyDescent="0.35">
      <c r="A223" s="147">
        <v>168</v>
      </c>
      <c r="B223" s="211" t="s">
        <v>738</v>
      </c>
      <c r="C223" s="194" t="s">
        <v>783</v>
      </c>
      <c r="D223" s="173" t="s">
        <v>788</v>
      </c>
      <c r="E223" t="s">
        <v>324</v>
      </c>
      <c r="F223" t="s">
        <v>787</v>
      </c>
      <c r="N223" s="148"/>
      <c r="O223" s="148"/>
      <c r="P223" s="197"/>
    </row>
    <row r="224" spans="1:16" ht="23.25" outlineLevel="1" x14ac:dyDescent="0.35">
      <c r="A224" s="147">
        <v>169</v>
      </c>
      <c r="B224" s="211" t="s">
        <v>739</v>
      </c>
      <c r="C224" s="194" t="s">
        <v>411</v>
      </c>
      <c r="D224" s="173">
        <v>0</v>
      </c>
      <c r="E224" t="s">
        <v>325</v>
      </c>
      <c r="N224" s="148"/>
      <c r="O224" s="148"/>
      <c r="P224" s="197"/>
    </row>
    <row r="225" spans="1:16" ht="23.25" outlineLevel="1" x14ac:dyDescent="0.35">
      <c r="A225" s="147">
        <v>170</v>
      </c>
      <c r="B225" s="211" t="s">
        <v>740</v>
      </c>
      <c r="C225" s="194" t="s">
        <v>411</v>
      </c>
      <c r="D225" s="173">
        <v>0</v>
      </c>
      <c r="E225" t="s">
        <v>325</v>
      </c>
      <c r="N225" s="148"/>
      <c r="O225" s="148"/>
      <c r="P225" s="197"/>
    </row>
    <row r="226" spans="1:16" ht="23.25" outlineLevel="1" x14ac:dyDescent="0.35">
      <c r="A226" s="147">
        <v>171</v>
      </c>
      <c r="B226" s="211" t="s">
        <v>741</v>
      </c>
      <c r="C226" s="194" t="s">
        <v>411</v>
      </c>
      <c r="D226" s="173">
        <v>0</v>
      </c>
      <c r="E226" t="s">
        <v>325</v>
      </c>
      <c r="N226" s="148"/>
      <c r="O226" s="148"/>
      <c r="P226" s="197"/>
    </row>
    <row r="227" spans="1:16" ht="23.25" outlineLevel="1" x14ac:dyDescent="0.35">
      <c r="A227" s="147">
        <v>172</v>
      </c>
      <c r="B227" s="211" t="s">
        <v>742</v>
      </c>
      <c r="C227" s="194" t="s">
        <v>411</v>
      </c>
      <c r="D227" s="173">
        <v>0</v>
      </c>
      <c r="E227" t="s">
        <v>325</v>
      </c>
      <c r="N227" s="148"/>
      <c r="O227" s="148"/>
      <c r="P227" s="197"/>
    </row>
    <row r="228" spans="1:16" ht="36" outlineLevel="1" x14ac:dyDescent="0.35">
      <c r="A228" s="147">
        <v>173</v>
      </c>
      <c r="B228" s="211" t="s">
        <v>66</v>
      </c>
      <c r="C228" s="194" t="s">
        <v>67</v>
      </c>
      <c r="D228" s="173" t="s">
        <v>559</v>
      </c>
      <c r="E228" t="s">
        <v>324</v>
      </c>
      <c r="N228" s="148"/>
      <c r="O228" s="148"/>
      <c r="P228" s="197"/>
    </row>
    <row r="229" spans="1:16" ht="23.25" outlineLevel="1" x14ac:dyDescent="0.35">
      <c r="A229" s="147">
        <v>174</v>
      </c>
      <c r="B229" s="211" t="s">
        <v>572</v>
      </c>
      <c r="C229" s="194" t="s">
        <v>411</v>
      </c>
      <c r="D229" s="173">
        <v>0</v>
      </c>
      <c r="E229" t="s">
        <v>325</v>
      </c>
      <c r="N229" s="148"/>
      <c r="O229" s="148"/>
      <c r="P229" s="197"/>
    </row>
    <row r="230" spans="1:16" ht="23.25" outlineLevel="1" x14ac:dyDescent="0.35">
      <c r="A230" s="147">
        <v>175</v>
      </c>
      <c r="B230" s="211" t="s">
        <v>743</v>
      </c>
      <c r="C230" s="194" t="s">
        <v>411</v>
      </c>
      <c r="D230" s="173">
        <v>0</v>
      </c>
      <c r="E230" t="s">
        <v>325</v>
      </c>
      <c r="N230" s="148"/>
      <c r="O230" s="148"/>
      <c r="P230" s="197"/>
    </row>
    <row r="231" spans="1:16" ht="23.25" outlineLevel="1" x14ac:dyDescent="0.35">
      <c r="A231" s="147">
        <v>176</v>
      </c>
      <c r="B231" s="211" t="s">
        <v>744</v>
      </c>
      <c r="C231" s="194" t="s">
        <v>411</v>
      </c>
      <c r="D231" s="173">
        <v>0</v>
      </c>
      <c r="E231" t="s">
        <v>325</v>
      </c>
      <c r="N231" s="148"/>
      <c r="O231" s="148"/>
      <c r="P231" s="197"/>
    </row>
    <row r="232" spans="1:16" ht="23.25" outlineLevel="1" x14ac:dyDescent="0.35">
      <c r="A232" s="147">
        <v>177</v>
      </c>
      <c r="B232" s="211" t="s">
        <v>745</v>
      </c>
      <c r="C232" s="194" t="s">
        <v>411</v>
      </c>
      <c r="D232" s="173">
        <v>0</v>
      </c>
      <c r="E232" t="s">
        <v>325</v>
      </c>
      <c r="N232" s="148"/>
      <c r="O232" s="148"/>
      <c r="P232" s="197"/>
    </row>
    <row r="233" spans="1:16" ht="23.25" outlineLevel="1" x14ac:dyDescent="0.35">
      <c r="A233" s="147">
        <v>178</v>
      </c>
      <c r="B233" s="211" t="s">
        <v>746</v>
      </c>
      <c r="C233" s="194" t="s">
        <v>411</v>
      </c>
      <c r="D233" s="173">
        <v>0</v>
      </c>
      <c r="E233" t="s">
        <v>325</v>
      </c>
      <c r="N233" s="148"/>
      <c r="O233" s="148"/>
      <c r="P233" s="197"/>
    </row>
    <row r="234" spans="1:16" ht="23.25" outlineLevel="1" x14ac:dyDescent="0.35">
      <c r="A234" s="147">
        <v>179</v>
      </c>
      <c r="B234" s="211" t="s">
        <v>747</v>
      </c>
      <c r="C234" s="194" t="s">
        <v>411</v>
      </c>
      <c r="D234" s="173">
        <v>0</v>
      </c>
      <c r="E234" t="s">
        <v>325</v>
      </c>
      <c r="N234" s="148"/>
      <c r="O234" s="148"/>
      <c r="P234" s="197"/>
    </row>
    <row r="235" spans="1:16" ht="23.25" outlineLevel="1" x14ac:dyDescent="0.35">
      <c r="A235" s="147">
        <v>180</v>
      </c>
      <c r="B235" s="211" t="s">
        <v>748</v>
      </c>
      <c r="C235" s="194">
        <v>0</v>
      </c>
      <c r="D235" s="173">
        <v>0</v>
      </c>
      <c r="E235" t="s">
        <v>325</v>
      </c>
      <c r="N235" s="148"/>
      <c r="O235" s="148"/>
      <c r="P235" s="197"/>
    </row>
    <row r="236" spans="1:16" ht="23.25" outlineLevel="1" x14ac:dyDescent="0.35">
      <c r="A236" s="147">
        <v>181</v>
      </c>
      <c r="B236" s="211" t="s">
        <v>749</v>
      </c>
      <c r="C236" s="194" t="s">
        <v>411</v>
      </c>
      <c r="D236" s="173">
        <v>0</v>
      </c>
      <c r="E236" t="s">
        <v>325</v>
      </c>
      <c r="N236" s="148"/>
      <c r="O236" s="148"/>
      <c r="P236" s="197"/>
    </row>
    <row r="237" spans="1:16" ht="23.25" outlineLevel="1" x14ac:dyDescent="0.35">
      <c r="A237" s="147">
        <v>182</v>
      </c>
      <c r="B237" s="211" t="s">
        <v>750</v>
      </c>
      <c r="C237" s="194" t="s">
        <v>411</v>
      </c>
      <c r="D237" s="173">
        <v>0</v>
      </c>
      <c r="E237" t="s">
        <v>325</v>
      </c>
      <c r="N237" s="148"/>
      <c r="O237" s="148"/>
      <c r="P237" s="197"/>
    </row>
    <row r="238" spans="1:16" ht="23.25" outlineLevel="1" x14ac:dyDescent="0.35">
      <c r="A238" s="147">
        <v>183</v>
      </c>
      <c r="B238" s="211" t="s">
        <v>751</v>
      </c>
      <c r="C238" s="194" t="s">
        <v>411</v>
      </c>
      <c r="D238" s="173">
        <v>0</v>
      </c>
      <c r="E238" t="s">
        <v>325</v>
      </c>
      <c r="N238" s="148"/>
      <c r="O238" s="148"/>
      <c r="P238" s="197"/>
    </row>
    <row r="239" spans="1:16" ht="23.25" outlineLevel="1" x14ac:dyDescent="0.35">
      <c r="A239" s="147">
        <v>184</v>
      </c>
      <c r="B239" s="211" t="s">
        <v>573</v>
      </c>
      <c r="C239" s="194">
        <v>0</v>
      </c>
      <c r="D239" s="173">
        <v>0</v>
      </c>
      <c r="E239" t="s">
        <v>325</v>
      </c>
      <c r="N239" s="148"/>
      <c r="O239" s="148"/>
      <c r="P239" s="197"/>
    </row>
    <row r="240" spans="1:16" ht="23.25" outlineLevel="1" x14ac:dyDescent="0.35">
      <c r="A240" s="147">
        <v>185</v>
      </c>
      <c r="B240" s="211" t="s">
        <v>752</v>
      </c>
      <c r="C240" s="194" t="s">
        <v>411</v>
      </c>
      <c r="D240" s="173">
        <v>0</v>
      </c>
      <c r="E240" t="s">
        <v>325</v>
      </c>
      <c r="N240" s="148"/>
      <c r="O240" s="148"/>
      <c r="P240" s="197"/>
    </row>
    <row r="241" spans="1:29" ht="23.25" outlineLevel="1" x14ac:dyDescent="0.35">
      <c r="A241" s="147">
        <v>186</v>
      </c>
      <c r="B241" s="211" t="s">
        <v>753</v>
      </c>
      <c r="C241" s="194" t="s">
        <v>411</v>
      </c>
      <c r="D241" s="173">
        <v>0</v>
      </c>
      <c r="E241" t="s">
        <v>325</v>
      </c>
      <c r="N241" s="148"/>
      <c r="O241" s="148"/>
      <c r="P241" s="197"/>
    </row>
    <row r="242" spans="1:29" ht="23.25" outlineLevel="1" x14ac:dyDescent="0.35">
      <c r="A242" s="147">
        <v>187</v>
      </c>
      <c r="B242" s="211" t="s">
        <v>754</v>
      </c>
      <c r="C242" s="194" t="s">
        <v>411</v>
      </c>
      <c r="D242" s="173">
        <v>0</v>
      </c>
      <c r="E242" t="s">
        <v>325</v>
      </c>
      <c r="N242" s="148"/>
      <c r="O242" s="148"/>
      <c r="P242" s="197"/>
    </row>
    <row r="243" spans="1:29" ht="23.25" outlineLevel="1" x14ac:dyDescent="0.35">
      <c r="A243" s="147">
        <v>188</v>
      </c>
      <c r="B243" s="211" t="s">
        <v>755</v>
      </c>
      <c r="C243" s="194" t="s">
        <v>411</v>
      </c>
      <c r="D243" s="173">
        <v>0</v>
      </c>
      <c r="E243" t="s">
        <v>325</v>
      </c>
      <c r="N243" s="148"/>
      <c r="O243" s="148"/>
      <c r="P243" s="197"/>
    </row>
    <row r="244" spans="1:29" ht="23.25" outlineLevel="1" x14ac:dyDescent="0.35">
      <c r="A244" s="147">
        <v>189</v>
      </c>
      <c r="B244" s="211" t="s">
        <v>756</v>
      </c>
      <c r="C244" s="194" t="s">
        <v>411</v>
      </c>
      <c r="D244" s="173">
        <v>0</v>
      </c>
      <c r="E244" t="s">
        <v>325</v>
      </c>
      <c r="N244" s="148"/>
      <c r="O244" s="148"/>
      <c r="P244" s="197"/>
    </row>
    <row r="245" spans="1:29" ht="23.25" outlineLevel="1" x14ac:dyDescent="0.35">
      <c r="A245" s="147">
        <v>190</v>
      </c>
      <c r="B245" s="211" t="s">
        <v>757</v>
      </c>
      <c r="C245" s="194">
        <v>0</v>
      </c>
      <c r="D245" s="173">
        <v>0</v>
      </c>
      <c r="E245" t="s">
        <v>325</v>
      </c>
      <c r="F245" t="s">
        <v>782</v>
      </c>
      <c r="N245" s="148"/>
      <c r="O245" s="148"/>
      <c r="P245" s="197"/>
    </row>
    <row r="246" spans="1:29" ht="24" outlineLevel="1" thickBot="1" x14ac:dyDescent="0.4">
      <c r="A246" s="147">
        <v>191</v>
      </c>
      <c r="B246" s="212" t="s">
        <v>758</v>
      </c>
      <c r="C246" s="194">
        <v>0</v>
      </c>
      <c r="D246" s="173">
        <v>0</v>
      </c>
      <c r="E246" t="s">
        <v>325</v>
      </c>
      <c r="F246" t="s">
        <v>564</v>
      </c>
      <c r="N246" s="148"/>
      <c r="O246" s="148"/>
      <c r="P246" s="197"/>
    </row>
    <row r="247" spans="1:29" outlineLevel="1" x14ac:dyDescent="0.25"/>
    <row r="248" spans="1:29" outlineLevel="1" x14ac:dyDescent="0.25"/>
    <row r="249" spans="1:29" ht="14.25" customHeight="1" x14ac:dyDescent="0.25"/>
    <row r="250" spans="1:29" ht="20.25" customHeight="1" x14ac:dyDescent="0.25"/>
    <row r="251" spans="1:29" ht="33" customHeight="1" x14ac:dyDescent="0.25">
      <c r="Y251" s="205" t="s">
        <v>569</v>
      </c>
    </row>
    <row r="252" spans="1:29" outlineLevel="1" x14ac:dyDescent="0.25">
      <c r="X252" s="214" t="s">
        <v>759</v>
      </c>
      <c r="Y252" s="2" t="s">
        <v>555</v>
      </c>
      <c r="Z252" s="2" t="s">
        <v>556</v>
      </c>
      <c r="AA252" s="2"/>
      <c r="AB252" s="2"/>
      <c r="AC252" s="2"/>
    </row>
    <row r="253" spans="1:29" outlineLevel="1" x14ac:dyDescent="0.25">
      <c r="V253" s="174" t="s">
        <v>327</v>
      </c>
      <c r="W253" s="175" t="s">
        <v>328</v>
      </c>
      <c r="X253" s="215" t="s">
        <v>760</v>
      </c>
      <c r="Y253" s="2" t="str">
        <f>E12</f>
        <v>AAA777i</v>
      </c>
      <c r="Z253" s="2" t="str">
        <f>B12</f>
        <v>%IW2.3.8</v>
      </c>
      <c r="AA253" s="2" t="s">
        <v>565</v>
      </c>
      <c r="AB253" s="2" t="str">
        <f>Z10</f>
        <v>AAA777i      Входная переменная, Аналогового входного модуля</v>
      </c>
      <c r="AC253" s="2">
        <v>0</v>
      </c>
    </row>
    <row r="254" spans="1:29" outlineLevel="1" x14ac:dyDescent="0.25">
      <c r="V254" s="174" t="s">
        <v>329</v>
      </c>
      <c r="W254" s="175" t="s">
        <v>330</v>
      </c>
      <c r="X254" s="215" t="s">
        <v>761</v>
      </c>
      <c r="Y254" s="2" t="str">
        <f t="shared" ref="Y254:Y270" si="4">G11</f>
        <v>AAA777_err</v>
      </c>
      <c r="Z254" s="2" t="str">
        <f t="shared" ref="Z254:Z270" si="5">N11</f>
        <v>%M2368</v>
      </c>
      <c r="AA254" s="2" t="s">
        <v>570</v>
      </c>
      <c r="AB254" s="2" t="str">
        <f>Z11</f>
        <v>Отказ канала измерения  AAA777</v>
      </c>
      <c r="AC254" s="2">
        <v>1</v>
      </c>
    </row>
    <row r="255" spans="1:29" outlineLevel="1" x14ac:dyDescent="0.25">
      <c r="V255" s="174" t="s">
        <v>331</v>
      </c>
      <c r="W255" s="175" t="s">
        <v>332</v>
      </c>
      <c r="X255" s="215" t="s">
        <v>762</v>
      </c>
      <c r="Y255" s="2" t="str">
        <f t="shared" si="4"/>
        <v>AAA777</v>
      </c>
      <c r="Z255" s="2" t="str">
        <f t="shared" si="5"/>
        <v>%MW1336</v>
      </c>
      <c r="AA255" s="2" t="s">
        <v>565</v>
      </c>
      <c r="AB255" s="2" t="str">
        <f t="shared" ref="AB255:AB270" si="6">Z12</f>
        <v>AAA777        Пробная позиция  Н000</v>
      </c>
      <c r="AC255" s="2">
        <v>2</v>
      </c>
    </row>
    <row r="256" spans="1:29" outlineLevel="1" x14ac:dyDescent="0.25">
      <c r="V256" s="176" t="s">
        <v>333</v>
      </c>
      <c r="W256" s="177" t="s">
        <v>334</v>
      </c>
      <c r="X256" s="215" t="s">
        <v>763</v>
      </c>
      <c r="Y256" s="2" t="str">
        <f t="shared" si="4"/>
        <v>AAA777_Bdiz</v>
      </c>
      <c r="Z256" s="2" t="str">
        <f t="shared" si="5"/>
        <v>%M4168</v>
      </c>
      <c r="AA256" s="2" t="s">
        <v>570</v>
      </c>
      <c r="AB256" s="2" t="str">
        <f t="shared" si="6"/>
        <v>Отключение блокировки по AAA777</v>
      </c>
      <c r="AC256" s="2">
        <v>3</v>
      </c>
    </row>
    <row r="257" spans="22:29" outlineLevel="1" x14ac:dyDescent="0.25">
      <c r="V257" s="176" t="s">
        <v>335</v>
      </c>
      <c r="W257" s="177" t="s">
        <v>336</v>
      </c>
      <c r="X257" s="215" t="s">
        <v>764</v>
      </c>
      <c r="Y257" s="2" t="str">
        <f t="shared" si="4"/>
        <v>AAA777_Par_BLK</v>
      </c>
      <c r="Z257" s="2" t="str">
        <f t="shared" si="5"/>
        <v>%M4668</v>
      </c>
      <c r="AA257" s="2" t="s">
        <v>570</v>
      </c>
      <c r="AB257" s="2" t="str">
        <f t="shared" si="6"/>
        <v>Срабатывание Блокировки по AAA777</v>
      </c>
      <c r="AC257" s="2">
        <v>4</v>
      </c>
    </row>
    <row r="258" spans="22:29" outlineLevel="1" x14ac:dyDescent="0.25">
      <c r="V258" s="176" t="s">
        <v>337</v>
      </c>
      <c r="W258" s="177" t="s">
        <v>338</v>
      </c>
      <c r="X258" s="215" t="s">
        <v>765</v>
      </c>
      <c r="Y258" s="2" t="str">
        <f t="shared" si="4"/>
        <v>AAA777_BMax</v>
      </c>
      <c r="Z258" s="2" t="str">
        <f t="shared" si="5"/>
        <v>%MW15336</v>
      </c>
      <c r="AA258" s="2" t="s">
        <v>565</v>
      </c>
      <c r="AB258" s="2" t="str">
        <f t="shared" si="6"/>
        <v xml:space="preserve">AAA777        Порог срабатывания блокировки по MAX  </v>
      </c>
      <c r="AC258" s="2">
        <v>5</v>
      </c>
    </row>
    <row r="259" spans="22:29" outlineLevel="1" x14ac:dyDescent="0.25">
      <c r="V259" s="178" t="s">
        <v>339</v>
      </c>
      <c r="W259" s="179" t="s">
        <v>340</v>
      </c>
      <c r="X259" s="215" t="s">
        <v>766</v>
      </c>
      <c r="Y259" s="2" t="str">
        <f t="shared" si="4"/>
        <v>AAA777_BMin</v>
      </c>
      <c r="Z259" s="2" t="str">
        <f t="shared" si="5"/>
        <v>%MW15936</v>
      </c>
      <c r="AA259" s="2" t="s">
        <v>565</v>
      </c>
      <c r="AB259" s="2" t="str">
        <f t="shared" si="6"/>
        <v xml:space="preserve">AAA777        Порог срабатывания блокировки по MIN  </v>
      </c>
      <c r="AC259" s="2">
        <v>6</v>
      </c>
    </row>
    <row r="260" spans="22:29" outlineLevel="1" x14ac:dyDescent="0.25">
      <c r="V260" s="178" t="s">
        <v>341</v>
      </c>
      <c r="W260" s="179" t="s">
        <v>342</v>
      </c>
      <c r="X260" s="215" t="s">
        <v>767</v>
      </c>
      <c r="Y260" s="2" t="str">
        <f t="shared" si="4"/>
        <v>AAA777_BMode</v>
      </c>
      <c r="Z260" s="2" t="str">
        <f t="shared" si="5"/>
        <v>%MW7168</v>
      </c>
      <c r="AA260" s="2" t="s">
        <v>565</v>
      </c>
      <c r="AB260" s="2" t="str">
        <f t="shared" si="6"/>
        <v>AAA777        Режим блокировки (0-нет 1-min 2-max 3-max&amp;min).</v>
      </c>
      <c r="AC260" s="2">
        <v>7</v>
      </c>
    </row>
    <row r="261" spans="22:29" outlineLevel="1" x14ac:dyDescent="0.25">
      <c r="V261" s="180" t="s">
        <v>11</v>
      </c>
      <c r="W261" s="181" t="s">
        <v>343</v>
      </c>
      <c r="X261" s="215" t="s">
        <v>768</v>
      </c>
      <c r="Y261" s="2" t="str">
        <f t="shared" si="4"/>
        <v>AAA777_BTime</v>
      </c>
      <c r="Z261" s="2" t="str">
        <f t="shared" si="5"/>
        <v>%MW7668</v>
      </c>
      <c r="AA261" s="2" t="s">
        <v>565</v>
      </c>
      <c r="AB261" s="2" t="str">
        <f t="shared" si="6"/>
        <v xml:space="preserve">AAA777        Время задержки срабатывания блокировки </v>
      </c>
      <c r="AC261" s="2">
        <v>8</v>
      </c>
    </row>
    <row r="262" spans="22:29" outlineLevel="1" x14ac:dyDescent="0.25">
      <c r="V262" s="180" t="s">
        <v>344</v>
      </c>
      <c r="W262" s="181" t="s">
        <v>345</v>
      </c>
      <c r="X262" s="215" t="s">
        <v>769</v>
      </c>
      <c r="Y262" s="2" t="str">
        <f t="shared" si="4"/>
        <v>AAA777_h</v>
      </c>
      <c r="Z262" s="2" t="str">
        <f t="shared" si="5"/>
        <v>%MW3936</v>
      </c>
      <c r="AA262" s="2" t="s">
        <v>565</v>
      </c>
      <c r="AB262" s="2" t="str">
        <f t="shared" si="6"/>
        <v>AAA777        Верхняя предаварийная граница  H.</v>
      </c>
      <c r="AC262" s="2">
        <v>9</v>
      </c>
    </row>
    <row r="263" spans="22:29" outlineLevel="1" x14ac:dyDescent="0.25">
      <c r="V263" s="182" t="s">
        <v>346</v>
      </c>
      <c r="W263" s="183" t="s">
        <v>347</v>
      </c>
      <c r="X263" s="215" t="s">
        <v>770</v>
      </c>
      <c r="Y263" s="2" t="str">
        <f t="shared" si="4"/>
        <v>AAA777_hh</v>
      </c>
      <c r="Z263" s="2" t="str">
        <f t="shared" si="5"/>
        <v>%MW8336</v>
      </c>
      <c r="AA263" s="2" t="s">
        <v>565</v>
      </c>
      <c r="AB263" s="2" t="str">
        <f t="shared" si="6"/>
        <v>AAA777        Верхняя аварийная граница HH.</v>
      </c>
      <c r="AC263" s="2">
        <v>10</v>
      </c>
    </row>
    <row r="264" spans="22:29" outlineLevel="1" x14ac:dyDescent="0.25">
      <c r="V264" s="182" t="s">
        <v>348</v>
      </c>
      <c r="W264" s="183" t="s">
        <v>349</v>
      </c>
      <c r="X264" s="215" t="s">
        <v>771</v>
      </c>
      <c r="Y264" s="2" t="str">
        <f t="shared" si="4"/>
        <v>AAA777_imit</v>
      </c>
      <c r="Z264" s="2" t="str">
        <f t="shared" si="5"/>
        <v>%M868</v>
      </c>
      <c r="AA264" s="2" t="s">
        <v>570</v>
      </c>
      <c r="AB264" s="2" t="str">
        <f t="shared" si="6"/>
        <v>AAA777        Имитация  .</v>
      </c>
      <c r="AC264" s="2">
        <v>11</v>
      </c>
    </row>
    <row r="265" spans="22:29" outlineLevel="1" x14ac:dyDescent="0.25">
      <c r="V265" s="182" t="s">
        <v>350</v>
      </c>
      <c r="W265" s="183" t="s">
        <v>351</v>
      </c>
      <c r="X265" s="215" t="s">
        <v>772</v>
      </c>
      <c r="Y265" s="2" t="str">
        <f t="shared" si="4"/>
        <v>AAA777_L</v>
      </c>
      <c r="Z265" s="2" t="str">
        <f t="shared" si="5"/>
        <v>%MW4536</v>
      </c>
      <c r="AA265" s="2" t="s">
        <v>565</v>
      </c>
      <c r="AB265" s="2" t="str">
        <f t="shared" si="6"/>
        <v>AAA777        Нижхняя предаварийная граница L.</v>
      </c>
      <c r="AC265" s="2">
        <v>12</v>
      </c>
    </row>
    <row r="266" spans="22:29" outlineLevel="1" x14ac:dyDescent="0.25">
      <c r="V266" s="184" t="s">
        <v>352</v>
      </c>
      <c r="W266" s="185" t="s">
        <v>353</v>
      </c>
      <c r="X266" s="215" t="s">
        <v>773</v>
      </c>
      <c r="Y266" s="2" t="str">
        <f t="shared" si="4"/>
        <v>AAA777_LL</v>
      </c>
      <c r="Z266" s="2" t="str">
        <f t="shared" si="5"/>
        <v>%MW5136</v>
      </c>
      <c r="AA266" s="2" t="s">
        <v>565</v>
      </c>
      <c r="AB266" s="2" t="str">
        <f t="shared" si="6"/>
        <v>AAA777        Нижняя аварийная граница LL.</v>
      </c>
      <c r="AC266" s="2">
        <v>13</v>
      </c>
    </row>
    <row r="267" spans="22:29" outlineLevel="1" x14ac:dyDescent="0.25">
      <c r="V267" s="184" t="s">
        <v>354</v>
      </c>
      <c r="W267" s="185" t="s">
        <v>355</v>
      </c>
      <c r="X267" s="215" t="s">
        <v>774</v>
      </c>
      <c r="Y267" s="2" t="str">
        <f t="shared" si="4"/>
        <v>AAA777_sh</v>
      </c>
      <c r="Z267" s="2" t="str">
        <f t="shared" si="5"/>
        <v>%MW5736</v>
      </c>
      <c r="AA267" s="2" t="s">
        <v>565</v>
      </c>
      <c r="AB267" s="2" t="str">
        <f t="shared" si="6"/>
        <v>AAA777        верх шкалы.</v>
      </c>
      <c r="AC267" s="2">
        <v>14</v>
      </c>
    </row>
    <row r="268" spans="22:29" outlineLevel="1" x14ac:dyDescent="0.25">
      <c r="V268" s="184" t="s">
        <v>356</v>
      </c>
      <c r="W268" s="185" t="s">
        <v>357</v>
      </c>
      <c r="X268" s="215" t="s">
        <v>775</v>
      </c>
      <c r="Y268" s="2" t="str">
        <f t="shared" si="4"/>
        <v>AAA777_sL</v>
      </c>
      <c r="Z268" s="2" t="str">
        <f t="shared" si="5"/>
        <v>%MW6336</v>
      </c>
      <c r="AA268" s="2" t="s">
        <v>565</v>
      </c>
      <c r="AB268" s="2" t="str">
        <f t="shared" si="6"/>
        <v>AAA777        низ шкалы.</v>
      </c>
      <c r="AC268" s="2">
        <v>15</v>
      </c>
    </row>
    <row r="269" spans="22:29" outlineLevel="1" x14ac:dyDescent="0.25">
      <c r="V269" s="184" t="s">
        <v>358</v>
      </c>
      <c r="W269" s="185" t="s">
        <v>359</v>
      </c>
      <c r="X269" s="215" t="s">
        <v>776</v>
      </c>
      <c r="Y269" s="2" t="str">
        <f t="shared" si="4"/>
        <v>AAA777_WH</v>
      </c>
      <c r="Z269" s="2" t="str">
        <f t="shared" si="5"/>
        <v>%MW20336</v>
      </c>
      <c r="AA269" s="2" t="s">
        <v>565</v>
      </c>
      <c r="AB269" s="2" t="str">
        <f t="shared" si="6"/>
        <v>AAA777        Верхняя граница норм. технол. Реж. (НТР).</v>
      </c>
      <c r="AC269" s="2">
        <v>16</v>
      </c>
    </row>
    <row r="270" spans="22:29" ht="17.25" outlineLevel="1" x14ac:dyDescent="0.25">
      <c r="V270" s="186" t="s">
        <v>360</v>
      </c>
      <c r="W270" s="187" t="s">
        <v>361</v>
      </c>
      <c r="X270" s="215" t="s">
        <v>777</v>
      </c>
      <c r="Y270" s="2" t="str">
        <f t="shared" si="4"/>
        <v>AAA777_WL</v>
      </c>
      <c r="Z270" s="2" t="str">
        <f t="shared" si="5"/>
        <v>%MW20936</v>
      </c>
      <c r="AA270" s="2" t="s">
        <v>565</v>
      </c>
      <c r="AB270" s="2" t="str">
        <f t="shared" si="6"/>
        <v>AAA777        Нижняя граница норм. технол. Реж. (НТР).</v>
      </c>
      <c r="AC270" s="2">
        <v>17</v>
      </c>
    </row>
    <row r="271" spans="22:29" outlineLevel="1" x14ac:dyDescent="0.25">
      <c r="V271" s="184" t="s">
        <v>362</v>
      </c>
      <c r="W271" s="185" t="s">
        <v>363</v>
      </c>
    </row>
    <row r="272" spans="22:29" outlineLevel="1" x14ac:dyDescent="0.25">
      <c r="V272" s="184" t="s">
        <v>364</v>
      </c>
      <c r="W272" s="185" t="s">
        <v>365</v>
      </c>
    </row>
    <row r="273" spans="22:26" outlineLevel="1" x14ac:dyDescent="0.25">
      <c r="V273" s="184" t="s">
        <v>366</v>
      </c>
      <c r="W273" s="185" t="s">
        <v>367</v>
      </c>
    </row>
    <row r="274" spans="22:26" outlineLevel="1" x14ac:dyDescent="0.25">
      <c r="V274" s="188" t="s">
        <v>368</v>
      </c>
      <c r="W274" s="189" t="s">
        <v>369</v>
      </c>
    </row>
    <row r="275" spans="22:26" outlineLevel="1" x14ac:dyDescent="0.25">
      <c r="V275" s="188" t="s">
        <v>370</v>
      </c>
      <c r="W275" s="189" t="s">
        <v>371</v>
      </c>
    </row>
    <row r="276" spans="22:26" outlineLevel="1" x14ac:dyDescent="0.25">
      <c r="V276" s="188" t="s">
        <v>372</v>
      </c>
      <c r="W276" s="189" t="s">
        <v>373</v>
      </c>
    </row>
    <row r="277" spans="22:26" outlineLevel="1" x14ac:dyDescent="0.25">
      <c r="V277" s="190" t="s">
        <v>374</v>
      </c>
      <c r="W277" s="191" t="s">
        <v>375</v>
      </c>
    </row>
    <row r="278" spans="22:26" outlineLevel="1" x14ac:dyDescent="0.25">
      <c r="V278" s="190" t="s">
        <v>376</v>
      </c>
      <c r="W278" s="191" t="s">
        <v>377</v>
      </c>
      <c r="X278" s="204" t="s">
        <v>567</v>
      </c>
    </row>
    <row r="279" spans="22:26" ht="27" customHeight="1" outlineLevel="1" x14ac:dyDescent="0.25">
      <c r="V279" s="190" t="s">
        <v>378</v>
      </c>
      <c r="W279" s="191" t="s">
        <v>379</v>
      </c>
      <c r="X279" s="2" t="s">
        <v>571</v>
      </c>
    </row>
    <row r="280" spans="22:26" outlineLevel="1" x14ac:dyDescent="0.25">
      <c r="V280" s="190" t="s">
        <v>380</v>
      </c>
      <c r="W280" s="191" t="s">
        <v>381</v>
      </c>
    </row>
    <row r="281" spans="22:26" outlineLevel="1" x14ac:dyDescent="0.25">
      <c r="V281" s="188" t="s">
        <v>382</v>
      </c>
      <c r="W281" s="189" t="s">
        <v>383</v>
      </c>
    </row>
    <row r="282" spans="22:26" outlineLevel="1" x14ac:dyDescent="0.25">
      <c r="V282" s="188" t="s">
        <v>384</v>
      </c>
      <c r="W282" s="189" t="s">
        <v>385</v>
      </c>
    </row>
    <row r="283" spans="22:26" outlineLevel="1" x14ac:dyDescent="0.25"/>
    <row r="284" spans="22:26" ht="33" customHeight="1" x14ac:dyDescent="0.25"/>
    <row r="285" spans="22:26" ht="88.5" customHeight="1" x14ac:dyDescent="0.25">
      <c r="Y285" s="217" t="s">
        <v>780</v>
      </c>
    </row>
    <row r="286" spans="22:26" ht="18.75" customHeight="1" x14ac:dyDescent="0.25">
      <c r="X286" s="206">
        <v>0</v>
      </c>
      <c r="Y286" s="213" t="str">
        <f>CONCATENATE(Y253,X279,Z253,X279,AA253,X279,AB253,)</f>
        <v>AAA777i	%IW2.3.8	int	AAA777i      Входная переменная, Аналогового входного модуля</v>
      </c>
      <c r="Z286" s="162"/>
    </row>
    <row r="287" spans="22:26" ht="14.25" customHeight="1" x14ac:dyDescent="0.25">
      <c r="X287" s="206">
        <v>1</v>
      </c>
      <c r="Y287" s="213" t="str">
        <f>CONCATENATE(Y254,X279,Z254,X279,AA254,X279,AB254,)</f>
        <v>AAA777_err	%M2368	ebool	Отказ канала измерения  AAA777</v>
      </c>
      <c r="Z287" s="162"/>
    </row>
    <row r="288" spans="22:26" x14ac:dyDescent="0.25">
      <c r="X288" s="206">
        <v>2</v>
      </c>
      <c r="Y288" s="203" t="str">
        <f>CONCATENATE(Y255,X279,Z255,X279,AA255,X279,AB255,)</f>
        <v>AAA777	%MW1336	int	AAA777        Пробная позиция  Н000</v>
      </c>
      <c r="Z288" s="162"/>
    </row>
    <row r="289" spans="24:26" x14ac:dyDescent="0.25">
      <c r="X289" s="206">
        <v>3</v>
      </c>
      <c r="Y289" s="203" t="str">
        <f>CONCATENATE(Y256,X279,Z256,X279,AA256,X279,AB256,)</f>
        <v>AAA777_Bdiz	%M4168	ebool	Отключение блокировки по AAA777</v>
      </c>
      <c r="Z289" s="162"/>
    </row>
    <row r="290" spans="24:26" x14ac:dyDescent="0.25">
      <c r="X290" s="206">
        <v>4</v>
      </c>
      <c r="Y290" s="203" t="str">
        <f>CONCATENATE(Y257,X279,Z257,X279,AA257,X279,AB257,)</f>
        <v>AAA777_Par_BLK	%M4668	ebool	Срабатывание Блокировки по AAA777</v>
      </c>
      <c r="Z290" s="162"/>
    </row>
    <row r="291" spans="24:26" x14ac:dyDescent="0.25">
      <c r="X291" s="206">
        <v>5</v>
      </c>
      <c r="Y291" s="203" t="str">
        <f>CONCATENATE(Y258,X279,Z258,X279,AA258,X279,AB258,)</f>
        <v xml:space="preserve">AAA777_BMax	%MW15336	int	AAA777        Порог срабатывания блокировки по MAX  </v>
      </c>
      <c r="Z291" s="162"/>
    </row>
    <row r="292" spans="24:26" x14ac:dyDescent="0.25">
      <c r="X292" s="206">
        <v>6</v>
      </c>
      <c r="Y292" s="203" t="str">
        <f>CONCATENATE(Y259,X279,Z259,X279,AA259,X279,AB259,)</f>
        <v xml:space="preserve">AAA777_BMin	%MW15936	int	AAA777        Порог срабатывания блокировки по MIN  </v>
      </c>
      <c r="Z292" s="162"/>
    </row>
    <row r="293" spans="24:26" x14ac:dyDescent="0.25">
      <c r="X293" s="206">
        <v>7</v>
      </c>
      <c r="Y293" s="203" t="str">
        <f>CONCATENATE(Y260,X279,Z260,X279,AA260,X279,AB260,)</f>
        <v>AAA777_BMode	%MW7168	int	AAA777        Режим блокировки (0-нет 1-min 2-max 3-max&amp;min).</v>
      </c>
      <c r="Z293" s="162"/>
    </row>
    <row r="294" spans="24:26" x14ac:dyDescent="0.25">
      <c r="X294" s="206">
        <v>8</v>
      </c>
      <c r="Y294" s="203" t="str">
        <f>CONCATENATE(Y261,X279,Z261,X279,AA261,X279,AB261,)</f>
        <v xml:space="preserve">AAA777_BTime	%MW7668	int	AAA777        Время задержки срабатывания блокировки </v>
      </c>
      <c r="Z294" s="162"/>
    </row>
    <row r="295" spans="24:26" x14ac:dyDescent="0.25">
      <c r="X295" s="206">
        <v>9</v>
      </c>
      <c r="Y295" s="203" t="str">
        <f>CONCATENATE(Y262,X279,Z262,X279,AA262,X279,AB262,)</f>
        <v>AAA777_h	%MW3936	int	AAA777        Верхняя предаварийная граница  H.</v>
      </c>
      <c r="Z295" s="162"/>
    </row>
    <row r="296" spans="24:26" x14ac:dyDescent="0.25">
      <c r="X296" s="206">
        <v>10</v>
      </c>
      <c r="Y296" s="203" t="str">
        <f>CONCATENATE(Y263,X279,Z263,X279,AA263,X279,AB263,)</f>
        <v>AAA777_hh	%MW8336	int	AAA777        Верхняя аварийная граница HH.</v>
      </c>
      <c r="Z296" s="162"/>
    </row>
    <row r="297" spans="24:26" x14ac:dyDescent="0.25">
      <c r="X297" s="206">
        <v>11</v>
      </c>
      <c r="Y297" s="203" t="str">
        <f>CONCATENATE(Y264,X279,Z264,X279,AA264,X279,AB264,)</f>
        <v>AAA777_imit	%M868	ebool	AAA777        Имитация  .</v>
      </c>
      <c r="Z297" s="162"/>
    </row>
    <row r="298" spans="24:26" x14ac:dyDescent="0.25">
      <c r="X298" s="206">
        <v>12</v>
      </c>
      <c r="Y298" s="203" t="str">
        <f>CONCATENATE(Y265,X279,Z265,X279,AA265,X279,AB265,)</f>
        <v>AAA777_L	%MW4536	int	AAA777        Нижхняя предаварийная граница L.</v>
      </c>
      <c r="Z298" s="162"/>
    </row>
    <row r="299" spans="24:26" x14ac:dyDescent="0.25">
      <c r="X299" s="206">
        <v>13</v>
      </c>
      <c r="Y299" s="203" t="str">
        <f>CONCATENATE(Y266,X279,Z266,X279,AA266,X279,AB266,)</f>
        <v>AAA777_LL	%MW5136	int	AAA777        Нижняя аварийная граница LL.</v>
      </c>
      <c r="Z299" s="162"/>
    </row>
    <row r="300" spans="24:26" x14ac:dyDescent="0.25">
      <c r="X300" s="206">
        <v>14</v>
      </c>
      <c r="Y300" s="203" t="str">
        <f>CONCATENATE(Y267,X279,Z267,X279,AA267,X279,AB267,)</f>
        <v>AAA777_sh	%MW5736	int	AAA777        верх шкалы.</v>
      </c>
      <c r="Z300" s="162"/>
    </row>
    <row r="301" spans="24:26" x14ac:dyDescent="0.25">
      <c r="X301" s="206">
        <v>15</v>
      </c>
      <c r="Y301" s="203" t="str">
        <f>CONCATENATE(Y268,X279,Z268,X279,AA268,X279,AB268,)</f>
        <v>AAA777_sL	%MW6336	int	AAA777        низ шкалы.</v>
      </c>
      <c r="Z301" s="162"/>
    </row>
    <row r="302" spans="24:26" x14ac:dyDescent="0.25">
      <c r="X302" s="206">
        <v>16</v>
      </c>
      <c r="Y302" s="203" t="str">
        <f>CONCATENATE(Y269,X279,Z269,X279,AA269,X279,AB269,)</f>
        <v>AAA777_WH	%MW20336	int	AAA777        Верхняя граница норм. технол. Реж. (НТР).</v>
      </c>
      <c r="Z302" s="162"/>
    </row>
    <row r="303" spans="24:26" x14ac:dyDescent="0.25">
      <c r="X303" s="206">
        <v>17</v>
      </c>
      <c r="Y303" s="203" t="str">
        <f>CONCATENATE(Y270,X279,Z270,X279,AA270,X279,AB270,)</f>
        <v>AAA777_WL	%MW20936	int	AAA777        Нижняя граница норм. технол. Реж. (НТР).</v>
      </c>
      <c r="Z303" s="162"/>
    </row>
    <row r="304" spans="24:26" x14ac:dyDescent="0.25">
      <c r="X304" s="2"/>
      <c r="Y304" s="203"/>
      <c r="Z304" s="162"/>
    </row>
  </sheetData>
  <mergeCells count="9">
    <mergeCell ref="BL2:CB2"/>
    <mergeCell ref="S9:BA9"/>
    <mergeCell ref="B4:E9"/>
    <mergeCell ref="G4:N4"/>
    <mergeCell ref="G5:N5"/>
    <mergeCell ref="G6:N6"/>
    <mergeCell ref="G7:J7"/>
    <mergeCell ref="G8:J8"/>
    <mergeCell ref="M9:O9"/>
  </mergeCells>
  <dataValidations count="1">
    <dataValidation showInputMessage="1" showErrorMessage="1" sqref="B12:C12"/>
  </dataValidations>
  <pageMargins left="0.7" right="0.7" top="0.75" bottom="0.75" header="0.3" footer="0.3"/>
  <pageSetup paperSize="9" scale="15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47625</xdr:colOff>
                    <xdr:row>1</xdr:row>
                    <xdr:rowOff>47625</xdr:rowOff>
                  </from>
                  <to>
                    <xdr:col>0</xdr:col>
                    <xdr:colOff>381000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Кнопка1_Щелчок">
                <anchor moveWithCells="1" sizeWithCells="1">
                  <from>
                    <xdr:col>1</xdr:col>
                    <xdr:colOff>76200</xdr:colOff>
                    <xdr:row>1</xdr:row>
                    <xdr:rowOff>9525</xdr:rowOff>
                  </from>
                  <to>
                    <xdr:col>1</xdr:col>
                    <xdr:colOff>1685925</xdr:colOff>
                    <xdr:row>1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Кнопка1_Щелчок">
                <anchor moveWithCells="1" sizeWithCells="1">
                  <from>
                    <xdr:col>24</xdr:col>
                    <xdr:colOff>190500</xdr:colOff>
                    <xdr:row>1</xdr:row>
                    <xdr:rowOff>76200</xdr:rowOff>
                  </from>
                  <to>
                    <xdr:col>24</xdr:col>
                    <xdr:colOff>1800225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_АНАЛОГОВЫЙ_Bx_(NEW)_</vt:lpstr>
      <vt:lpstr>'_АНАЛОГОВЫЙ_Bx_(NEW)_'!Область_печати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2017-03-03T15:31:31Z</dcterms:modified>
</cp:coreProperties>
</file>