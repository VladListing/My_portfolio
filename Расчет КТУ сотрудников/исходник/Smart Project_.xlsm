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240" yWindow="105" windowWidth="14805" windowHeight="8010"/>
  </bookViews>
  <sheets>
    <sheet name="KTY" sheetId="1" r:id="rId1"/>
    <sheet name="Лист2" sheetId="2" r:id="rId2"/>
    <sheet name="Лист3" sheetId="3" r:id="rId3"/>
  </sheets>
  <calcPr calcId="145621"/>
</workbook>
</file>

<file path=xl/calcChain.xml><?xml version="1.0" encoding="utf-8"?>
<calcChain xmlns="http://schemas.openxmlformats.org/spreadsheetml/2006/main">
  <c r="AJ42" i="1" l="1"/>
  <c r="AK42" i="1"/>
  <c r="AL42" i="1"/>
  <c r="AM42" i="1"/>
  <c r="AN42" i="1"/>
  <c r="CE58" i="1" l="1"/>
  <c r="CC18" i="1"/>
  <c r="CL34" i="1"/>
  <c r="CB34" i="1" s="1"/>
  <c r="CC34" i="1"/>
  <c r="CC33" i="1"/>
  <c r="CC32" i="1"/>
  <c r="CC31" i="1"/>
  <c r="CC30" i="1"/>
  <c r="CC29" i="1"/>
  <c r="CC28" i="1"/>
  <c r="CC27" i="1"/>
  <c r="CC26" i="1"/>
  <c r="CC25" i="1"/>
  <c r="CC24" i="1"/>
  <c r="CC23" i="1"/>
  <c r="CC22" i="1"/>
  <c r="CC21" i="1"/>
  <c r="CC20" i="1"/>
  <c r="CC19" i="1"/>
  <c r="CC17" i="1"/>
  <c r="CC16" i="1"/>
  <c r="CC15" i="1"/>
  <c r="CM58" i="1"/>
  <c r="CK35" i="1"/>
  <c r="CO35" i="1" s="1"/>
  <c r="CG34" i="1"/>
  <c r="CL33" i="1"/>
  <c r="CL32" i="1"/>
  <c r="CL31" i="1"/>
  <c r="CL30" i="1"/>
  <c r="CL29" i="1"/>
  <c r="CL28" i="1"/>
  <c r="CL27" i="1"/>
  <c r="CL26" i="1"/>
  <c r="CL25" i="1"/>
  <c r="CL24" i="1"/>
  <c r="CL23" i="1"/>
  <c r="CL22" i="1"/>
  <c r="CL21" i="1"/>
  <c r="CL20" i="1"/>
  <c r="CL19" i="1"/>
  <c r="CL18" i="1"/>
  <c r="CL17" i="1"/>
  <c r="CL16" i="1"/>
  <c r="CL15" i="1"/>
  <c r="CL58" i="1" l="1"/>
  <c r="CH18" i="1"/>
  <c r="CH17" i="1"/>
  <c r="CH32" i="1"/>
  <c r="CH25" i="1"/>
  <c r="CH21" i="1"/>
  <c r="CH20" i="1"/>
  <c r="CH19" i="1"/>
  <c r="CH33" i="1"/>
  <c r="CH29" i="1"/>
  <c r="CH16" i="1"/>
  <c r="CF34" i="1"/>
  <c r="CI34" i="1" s="1"/>
  <c r="CK34" i="1" s="1"/>
  <c r="CO34" i="1" s="1"/>
  <c r="CH31" i="1"/>
  <c r="CH30" i="1"/>
  <c r="CH28" i="1"/>
  <c r="CH27" i="1"/>
  <c r="CH26" i="1"/>
  <c r="CH24" i="1"/>
  <c r="CH23" i="1"/>
  <c r="CH22" i="1"/>
  <c r="CH34" i="1"/>
  <c r="CH15" i="1"/>
  <c r="AV33" i="1"/>
  <c r="DG100" i="1"/>
  <c r="DH100" i="1" s="1"/>
  <c r="DG99" i="1"/>
  <c r="DH99" i="1" s="1"/>
  <c r="DG98" i="1"/>
  <c r="DH98" i="1" s="1"/>
  <c r="DG97" i="1"/>
  <c r="DH97" i="1" s="1"/>
  <c r="DG96" i="1"/>
  <c r="DH96" i="1" s="1"/>
  <c r="DG95" i="1"/>
  <c r="DH95" i="1" s="1"/>
  <c r="DG94" i="1"/>
  <c r="DH94" i="1" s="1"/>
  <c r="DG93" i="1"/>
  <c r="DH93" i="1" s="1"/>
  <c r="DG92" i="1"/>
  <c r="DH92" i="1" s="1"/>
  <c r="DG91" i="1"/>
  <c r="DH91" i="1" s="1"/>
  <c r="DG90" i="1"/>
  <c r="DH90" i="1" s="1"/>
  <c r="DG89" i="1"/>
  <c r="DH89" i="1" s="1"/>
  <c r="DG88" i="1"/>
  <c r="DH88" i="1" s="1"/>
  <c r="DG87" i="1"/>
  <c r="DH87" i="1" s="1"/>
  <c r="DG86" i="1"/>
  <c r="DH86" i="1" s="1"/>
  <c r="DG85" i="1"/>
  <c r="DH85" i="1" s="1"/>
  <c r="DG84" i="1"/>
  <c r="DH84" i="1" s="1"/>
  <c r="DG83" i="1"/>
  <c r="DH83" i="1" s="1"/>
  <c r="DG82" i="1"/>
  <c r="DH82" i="1" s="1"/>
  <c r="DG81" i="1"/>
  <c r="DH81" i="1" s="1"/>
  <c r="DG80" i="1"/>
  <c r="DH80" i="1" s="1"/>
  <c r="DG79" i="1"/>
  <c r="DH79" i="1" s="1"/>
  <c r="DG78" i="1"/>
  <c r="DH78" i="1" s="1"/>
  <c r="DG77" i="1"/>
  <c r="DH77" i="1" s="1"/>
  <c r="DG76" i="1"/>
  <c r="DH76" i="1" s="1"/>
  <c r="DG75" i="1"/>
  <c r="DH75" i="1" s="1"/>
  <c r="DG74" i="1"/>
  <c r="DH74" i="1" s="1"/>
  <c r="DG73" i="1"/>
  <c r="DH73" i="1" s="1"/>
  <c r="DG72" i="1"/>
  <c r="DH72" i="1" s="1"/>
  <c r="DG71" i="1"/>
  <c r="DH71" i="1" s="1"/>
  <c r="DG70" i="1"/>
  <c r="DH70" i="1" s="1"/>
  <c r="DG69" i="1"/>
  <c r="DH69" i="1" s="1"/>
  <c r="DG68" i="1"/>
  <c r="DH68" i="1" s="1"/>
  <c r="DG67" i="1"/>
  <c r="DH67" i="1" s="1"/>
  <c r="DG66" i="1"/>
  <c r="DH66" i="1" s="1"/>
  <c r="DG65" i="1"/>
  <c r="DH65" i="1" s="1"/>
  <c r="DG64" i="1"/>
  <c r="DH64" i="1" s="1"/>
  <c r="DG63" i="1"/>
  <c r="DH63" i="1" s="1"/>
  <c r="DG62" i="1"/>
  <c r="DH62" i="1" s="1"/>
  <c r="DG61" i="1"/>
  <c r="DH61" i="1" s="1"/>
  <c r="DG60" i="1"/>
  <c r="DH60" i="1" s="1"/>
  <c r="DG59" i="1"/>
  <c r="DH59" i="1" s="1"/>
  <c r="DG58" i="1"/>
  <c r="DH58" i="1" s="1"/>
  <c r="DG57" i="1"/>
  <c r="DH57" i="1" s="1"/>
  <c r="DG56" i="1"/>
  <c r="DH56" i="1" s="1"/>
  <c r="DG55" i="1"/>
  <c r="DH55" i="1" s="1"/>
  <c r="DG54" i="1"/>
  <c r="DH54" i="1" s="1"/>
  <c r="DG53" i="1"/>
  <c r="DH53" i="1" s="1"/>
  <c r="DG52" i="1"/>
  <c r="DH52" i="1" s="1"/>
  <c r="DG51" i="1"/>
  <c r="DH51" i="1" s="1"/>
  <c r="DG50" i="1"/>
  <c r="DH50" i="1" s="1"/>
  <c r="DG49" i="1"/>
  <c r="DH49" i="1" s="1"/>
  <c r="DG48" i="1"/>
  <c r="DH48" i="1" s="1"/>
  <c r="DG47" i="1"/>
  <c r="DH47" i="1" s="1"/>
  <c r="DG46" i="1"/>
  <c r="DH46" i="1" s="1"/>
  <c r="DG45" i="1"/>
  <c r="DH45" i="1" s="1"/>
  <c r="DG44" i="1"/>
  <c r="DH44" i="1" s="1"/>
  <c r="DG43" i="1"/>
  <c r="DH43" i="1" s="1"/>
  <c r="DG42" i="1"/>
  <c r="DH42" i="1" s="1"/>
  <c r="DG41" i="1"/>
  <c r="DH41" i="1" s="1"/>
  <c r="DG40" i="1"/>
  <c r="DH40" i="1" s="1"/>
  <c r="DG39" i="1"/>
  <c r="DH39" i="1" s="1"/>
  <c r="DG38" i="1"/>
  <c r="DH38" i="1" s="1"/>
  <c r="DG37" i="1"/>
  <c r="DH37" i="1" s="1"/>
  <c r="DG36" i="1"/>
  <c r="DH36" i="1" s="1"/>
  <c r="DG35" i="1"/>
  <c r="DH35" i="1" s="1"/>
  <c r="DG34" i="1"/>
  <c r="DH34" i="1" s="1"/>
  <c r="DG33" i="1"/>
  <c r="DH33" i="1" s="1"/>
  <c r="DG32" i="1"/>
  <c r="DH32" i="1" s="1"/>
  <c r="DG31" i="1"/>
  <c r="DH31" i="1" s="1"/>
  <c r="DG30" i="1"/>
  <c r="DH30" i="1" s="1"/>
  <c r="DG29" i="1"/>
  <c r="DH29" i="1" s="1"/>
  <c r="DG28" i="1"/>
  <c r="DH28" i="1" s="1"/>
  <c r="DG27" i="1"/>
  <c r="DH27" i="1" s="1"/>
  <c r="DG26" i="1"/>
  <c r="DH26" i="1" s="1"/>
  <c r="DG25" i="1"/>
  <c r="DH25" i="1" s="1"/>
  <c r="DG24" i="1"/>
  <c r="DH24" i="1" s="1"/>
  <c r="DG23" i="1"/>
  <c r="DH23" i="1" s="1"/>
  <c r="DG22" i="1"/>
  <c r="DH22" i="1" s="1"/>
  <c r="DG21" i="1"/>
  <c r="DH21" i="1" s="1"/>
  <c r="DG20" i="1"/>
  <c r="DH20" i="1" s="1"/>
  <c r="DG19" i="1"/>
  <c r="DH19" i="1" s="1"/>
  <c r="DG18" i="1"/>
  <c r="DH18" i="1" s="1"/>
  <c r="DG17" i="1"/>
  <c r="DH17" i="1" s="1"/>
  <c r="DG15" i="1"/>
  <c r="DH15" i="1" s="1"/>
  <c r="DG16" i="1"/>
  <c r="DH16" i="1" s="1"/>
  <c r="CH58" i="1" l="1"/>
  <c r="AL103" i="1"/>
  <c r="CC58" i="1" l="1"/>
  <c r="AT32" i="1" l="1"/>
  <c r="CZ10" i="1" l="1"/>
  <c r="BA11" i="1"/>
  <c r="AY10" i="1"/>
  <c r="AY11" i="1" s="1"/>
  <c r="AV103" i="1" l="1"/>
  <c r="AX102" i="1"/>
  <c r="AX101" i="1"/>
  <c r="AX100" i="1"/>
  <c r="BZ29" i="1" s="1"/>
  <c r="AX99" i="1"/>
  <c r="AV97" i="1"/>
  <c r="AX96" i="1"/>
  <c r="AX97" i="1" s="1"/>
  <c r="AV94" i="1"/>
  <c r="AX92" i="1"/>
  <c r="AX91" i="1"/>
  <c r="BZ30" i="1" s="1"/>
  <c r="AX90" i="1"/>
  <c r="AV88" i="1"/>
  <c r="AX87" i="1"/>
  <c r="AX86" i="1"/>
  <c r="AV84" i="1"/>
  <c r="AT83" i="1"/>
  <c r="AX93" i="1" s="1"/>
  <c r="AT81" i="1"/>
  <c r="AX83" i="1" s="1"/>
  <c r="AV77" i="1"/>
  <c r="AX75" i="1"/>
  <c r="AT74" i="1"/>
  <c r="AX73" i="1" s="1"/>
  <c r="BZ28" i="1" s="1"/>
  <c r="AT72" i="1"/>
  <c r="AX71" i="1" s="1"/>
  <c r="AT70" i="1"/>
  <c r="AX69" i="1" s="1"/>
  <c r="AT68" i="1"/>
  <c r="AX67" i="1" s="1"/>
  <c r="AT66" i="1"/>
  <c r="AX66" i="1" s="1"/>
  <c r="AT63" i="1"/>
  <c r="AX63" i="1" s="1"/>
  <c r="AT60" i="1"/>
  <c r="AX60" i="1" s="1"/>
  <c r="AT59" i="1"/>
  <c r="AX59" i="1" s="1"/>
  <c r="AT57" i="1"/>
  <c r="AX74" i="1" s="1"/>
  <c r="AT55" i="1"/>
  <c r="AX55" i="1" s="1"/>
  <c r="AX53" i="1"/>
  <c r="AT53" i="1"/>
  <c r="AX52" i="1" s="1"/>
  <c r="AT51" i="1"/>
  <c r="AX51" i="1" s="1"/>
  <c r="AT48" i="1"/>
  <c r="AX48" i="1" s="1"/>
  <c r="AT45" i="1"/>
  <c r="AX45" i="1" s="1"/>
  <c r="AT42" i="1"/>
  <c r="AX42" i="1" s="1"/>
  <c r="AX40" i="1"/>
  <c r="AT40" i="1"/>
  <c r="AX39" i="1" s="1"/>
  <c r="AX38" i="1"/>
  <c r="AT38" i="1"/>
  <c r="AX37" i="1" s="1"/>
  <c r="AX36" i="1"/>
  <c r="AT36" i="1"/>
  <c r="AX35" i="1" s="1"/>
  <c r="AX32" i="1"/>
  <c r="AX31" i="1"/>
  <c r="AX30" i="1"/>
  <c r="AX29" i="1"/>
  <c r="AT29" i="1"/>
  <c r="AX28" i="1" s="1"/>
  <c r="AV25" i="1"/>
  <c r="AX24" i="1"/>
  <c r="AX23" i="1"/>
  <c r="AX22" i="1"/>
  <c r="AX21" i="1"/>
  <c r="AX20" i="1"/>
  <c r="AX19" i="1"/>
  <c r="AX18" i="1"/>
  <c r="AX17" i="1"/>
  <c r="AX16" i="1"/>
  <c r="BZ15" i="1" s="1"/>
  <c r="BZ31" i="1" l="1"/>
  <c r="CA31" i="1" s="1"/>
  <c r="CB31" i="1" s="1"/>
  <c r="AX79" i="1"/>
  <c r="BZ33" i="1" s="1"/>
  <c r="CA33" i="1" s="1"/>
  <c r="CB33" i="1" s="1"/>
  <c r="AX103" i="1"/>
  <c r="AX61" i="1"/>
  <c r="BZ25" i="1"/>
  <c r="CA25" i="1" s="1"/>
  <c r="CB25" i="1" s="1"/>
  <c r="AX88" i="1"/>
  <c r="AX80" i="1"/>
  <c r="BZ27" i="1" s="1"/>
  <c r="CA27" i="1" s="1"/>
  <c r="CB27" i="1" s="1"/>
  <c r="AX82" i="1"/>
  <c r="BZ26" i="1" s="1"/>
  <c r="CA26" i="1" s="1"/>
  <c r="CB26" i="1" s="1"/>
  <c r="AX62" i="1"/>
  <c r="AX64" i="1"/>
  <c r="AY64" i="1" s="1"/>
  <c r="AZ64" i="1" s="1"/>
  <c r="AX43" i="1"/>
  <c r="AY43" i="1" s="1"/>
  <c r="AZ43" i="1" s="1"/>
  <c r="AX46" i="1"/>
  <c r="BZ24" i="1" s="1"/>
  <c r="CA24" i="1" s="1"/>
  <c r="CB24" i="1" s="1"/>
  <c r="AX49" i="1"/>
  <c r="AX54" i="1"/>
  <c r="AX56" i="1"/>
  <c r="BZ21" i="1" s="1"/>
  <c r="CA21" i="1" s="1"/>
  <c r="CB21" i="1" s="1"/>
  <c r="AX57" i="1"/>
  <c r="BZ16" i="1"/>
  <c r="CA16" i="1" s="1"/>
  <c r="CB16" i="1" s="1"/>
  <c r="AX27" i="1"/>
  <c r="BZ19" i="1" s="1"/>
  <c r="CA19" i="1" s="1"/>
  <c r="CB19" i="1" s="1"/>
  <c r="BZ17" i="1"/>
  <c r="CA17" i="1" s="1"/>
  <c r="CB17" i="1" s="1"/>
  <c r="BZ18" i="1"/>
  <c r="CA18" i="1" s="1"/>
  <c r="CB18" i="1" s="1"/>
  <c r="AX41" i="1"/>
  <c r="AY41" i="1" s="1"/>
  <c r="AZ41" i="1" s="1"/>
  <c r="AX44" i="1"/>
  <c r="AX47" i="1"/>
  <c r="BZ32" i="1" s="1"/>
  <c r="CA32" i="1" s="1"/>
  <c r="CB32" i="1" s="1"/>
  <c r="AX50" i="1"/>
  <c r="AX58" i="1"/>
  <c r="AY58" i="1" s="1"/>
  <c r="AZ58" i="1" s="1"/>
  <c r="AX65" i="1"/>
  <c r="AY65" i="1" s="1"/>
  <c r="AZ65" i="1" s="1"/>
  <c r="AX76" i="1"/>
  <c r="BZ22" i="1"/>
  <c r="CA22" i="1" s="1"/>
  <c r="CB22" i="1" s="1"/>
  <c r="CA29" i="1"/>
  <c r="CB29" i="1" s="1"/>
  <c r="CA28" i="1"/>
  <c r="CB28" i="1" s="1"/>
  <c r="CA30" i="1"/>
  <c r="CB30" i="1" s="1"/>
  <c r="AY17" i="1"/>
  <c r="AZ17" i="1" s="1"/>
  <c r="AX25" i="1"/>
  <c r="CA15" i="1"/>
  <c r="CB15" i="1" s="1"/>
  <c r="AY32" i="1"/>
  <c r="AY36" i="1"/>
  <c r="AY37" i="1"/>
  <c r="AZ37" i="1" s="1"/>
  <c r="AY40" i="1"/>
  <c r="AY45" i="1"/>
  <c r="AZ45" i="1" s="1"/>
  <c r="AY46" i="1"/>
  <c r="AZ46" i="1" s="1"/>
  <c r="AY52" i="1"/>
  <c r="AZ52" i="1" s="1"/>
  <c r="AY55" i="1"/>
  <c r="AZ55" i="1" s="1"/>
  <c r="AY96" i="1"/>
  <c r="AZ96" i="1" s="1"/>
  <c r="AY93" i="1"/>
  <c r="AY92" i="1"/>
  <c r="AZ92" i="1" s="1"/>
  <c r="AY91" i="1"/>
  <c r="AZ91" i="1" s="1"/>
  <c r="AY90" i="1"/>
  <c r="AZ90" i="1" s="1"/>
  <c r="AY82" i="1"/>
  <c r="AZ82" i="1" s="1"/>
  <c r="AY80" i="1"/>
  <c r="AZ80" i="1" s="1"/>
  <c r="AY79" i="1"/>
  <c r="AZ79" i="1" s="1"/>
  <c r="AY75" i="1"/>
  <c r="AZ75" i="1" s="1"/>
  <c r="AY73" i="1"/>
  <c r="AZ73" i="1" s="1"/>
  <c r="AY71" i="1"/>
  <c r="AZ71" i="1" s="1"/>
  <c r="AY69" i="1"/>
  <c r="AZ69" i="1" s="1"/>
  <c r="AY67" i="1"/>
  <c r="AZ67" i="1" s="1"/>
  <c r="AY66" i="1"/>
  <c r="AZ66" i="1" s="1"/>
  <c r="AY62" i="1"/>
  <c r="AZ62" i="1" s="1"/>
  <c r="AY61" i="1"/>
  <c r="AZ61" i="1" s="1"/>
  <c r="AY60" i="1"/>
  <c r="AZ60" i="1" s="1"/>
  <c r="AY57" i="1"/>
  <c r="AZ57" i="1" s="1"/>
  <c r="AY54" i="1"/>
  <c r="AZ54" i="1" s="1"/>
  <c r="AY53" i="1"/>
  <c r="AY50" i="1"/>
  <c r="AZ50" i="1" s="1"/>
  <c r="AY49" i="1"/>
  <c r="AZ49" i="1" s="1"/>
  <c r="AY48" i="1"/>
  <c r="AZ48" i="1" s="1"/>
  <c r="AY102" i="1"/>
  <c r="AZ102" i="1" s="1"/>
  <c r="AY101" i="1"/>
  <c r="AZ101" i="1" s="1"/>
  <c r="AY100" i="1"/>
  <c r="AZ100" i="1" s="1"/>
  <c r="AY99" i="1"/>
  <c r="AZ99" i="1" s="1"/>
  <c r="AY87" i="1"/>
  <c r="AZ87" i="1" s="1"/>
  <c r="AY86" i="1"/>
  <c r="AZ86" i="1" s="1"/>
  <c r="AY16" i="1"/>
  <c r="AZ16" i="1" s="1"/>
  <c r="AY18" i="1"/>
  <c r="AZ18" i="1" s="1"/>
  <c r="AY19" i="1"/>
  <c r="AZ19" i="1" s="1"/>
  <c r="AY20" i="1"/>
  <c r="AZ20" i="1" s="1"/>
  <c r="AY21" i="1"/>
  <c r="AZ21" i="1" s="1"/>
  <c r="AY22" i="1"/>
  <c r="AZ22" i="1" s="1"/>
  <c r="AY23" i="1"/>
  <c r="AZ23" i="1" s="1"/>
  <c r="AY24" i="1"/>
  <c r="AZ24" i="1" s="1"/>
  <c r="AY28" i="1"/>
  <c r="AZ28" i="1" s="1"/>
  <c r="AY30" i="1"/>
  <c r="AZ30" i="1" s="1"/>
  <c r="AY31" i="1"/>
  <c r="AZ31" i="1" s="1"/>
  <c r="AY35" i="1"/>
  <c r="AZ35" i="1" s="1"/>
  <c r="AY38" i="1"/>
  <c r="AY39" i="1"/>
  <c r="AZ39" i="1" s="1"/>
  <c r="AY42" i="1"/>
  <c r="AZ42" i="1" s="1"/>
  <c r="AY44" i="1"/>
  <c r="AZ44" i="1" s="1"/>
  <c r="AY51" i="1"/>
  <c r="AZ51" i="1" s="1"/>
  <c r="AY59" i="1"/>
  <c r="AZ59" i="1" s="1"/>
  <c r="AY63" i="1"/>
  <c r="AZ63" i="1" s="1"/>
  <c r="AX94" i="1"/>
  <c r="AX68" i="1"/>
  <c r="AX70" i="1"/>
  <c r="AX72" i="1"/>
  <c r="AX81" i="1"/>
  <c r="BA91" i="1" l="1"/>
  <c r="BA92" i="1"/>
  <c r="BA87" i="1"/>
  <c r="BA80" i="1"/>
  <c r="BA82" i="1"/>
  <c r="AZ93" i="1"/>
  <c r="BA93" i="1" s="1"/>
  <c r="BA75" i="1"/>
  <c r="BA65" i="1"/>
  <c r="BA63" i="1"/>
  <c r="BA59" i="1"/>
  <c r="BA51" i="1"/>
  <c r="BA44" i="1"/>
  <c r="BA42" i="1"/>
  <c r="BA39" i="1"/>
  <c r="BA48" i="1"/>
  <c r="BA49" i="1"/>
  <c r="BA50" i="1"/>
  <c r="BA54" i="1"/>
  <c r="BA57" i="1"/>
  <c r="BA60" i="1"/>
  <c r="BA61" i="1"/>
  <c r="BA62" i="1"/>
  <c r="BA66" i="1"/>
  <c r="BA67" i="1"/>
  <c r="BA69" i="1"/>
  <c r="BA71" i="1"/>
  <c r="BA73" i="1"/>
  <c r="BA55" i="1"/>
  <c r="BA52" i="1"/>
  <c r="BA46" i="1"/>
  <c r="BA45" i="1"/>
  <c r="BA37" i="1"/>
  <c r="BA58" i="1"/>
  <c r="BA41" i="1"/>
  <c r="BA43" i="1"/>
  <c r="BA64" i="1"/>
  <c r="BA31" i="1"/>
  <c r="BA30" i="1"/>
  <c r="BA28" i="1"/>
  <c r="AZ32" i="1"/>
  <c r="BA32" i="1" s="1"/>
  <c r="AZ38" i="1"/>
  <c r="BA38" i="1" s="1"/>
  <c r="BA23" i="1"/>
  <c r="BA22" i="1"/>
  <c r="BA21" i="1"/>
  <c r="BA20" i="1"/>
  <c r="BA19" i="1"/>
  <c r="BA18" i="1"/>
  <c r="AZ53" i="1"/>
  <c r="BA53" i="1" s="1"/>
  <c r="AZ40" i="1"/>
  <c r="BA40" i="1" s="1"/>
  <c r="AZ36" i="1"/>
  <c r="BA36" i="1" s="1"/>
  <c r="BA17" i="1"/>
  <c r="BA100" i="1"/>
  <c r="BA101" i="1"/>
  <c r="BA102" i="1"/>
  <c r="AY56" i="1"/>
  <c r="AZ56" i="1" s="1"/>
  <c r="AY47" i="1"/>
  <c r="AZ47" i="1" s="1"/>
  <c r="BZ20" i="1"/>
  <c r="CA20" i="1" s="1"/>
  <c r="CB20" i="1" s="1"/>
  <c r="AY27" i="1"/>
  <c r="AZ27" i="1" s="1"/>
  <c r="AX33" i="1"/>
  <c r="CG15" i="1"/>
  <c r="CF15" i="1"/>
  <c r="CG30" i="1"/>
  <c r="CF30" i="1"/>
  <c r="CI30" i="1" s="1"/>
  <c r="CG21" i="1"/>
  <c r="CG29" i="1"/>
  <c r="CF29" i="1"/>
  <c r="CI29" i="1" s="1"/>
  <c r="CK29" i="1" s="1"/>
  <c r="CO29" i="1" s="1"/>
  <c r="CG22" i="1"/>
  <c r="CF22" i="1"/>
  <c r="CI22" i="1" s="1"/>
  <c r="CK22" i="1" s="1"/>
  <c r="CO22" i="1" s="1"/>
  <c r="CG18" i="1"/>
  <c r="CG24" i="1"/>
  <c r="CF24" i="1"/>
  <c r="CI24" i="1" s="1"/>
  <c r="CG26" i="1"/>
  <c r="CF26" i="1"/>
  <c r="CI26" i="1" s="1"/>
  <c r="CG33" i="1"/>
  <c r="CF33" i="1"/>
  <c r="CI33" i="1" s="1"/>
  <c r="CG28" i="1"/>
  <c r="CF28" i="1"/>
  <c r="CI28" i="1" s="1"/>
  <c r="CG17" i="1"/>
  <c r="CG25" i="1"/>
  <c r="CF25" i="1"/>
  <c r="CI25" i="1" s="1"/>
  <c r="CK25" i="1" s="1"/>
  <c r="CO25" i="1" s="1"/>
  <c r="CG19" i="1"/>
  <c r="CG32" i="1"/>
  <c r="CF32" i="1"/>
  <c r="CI32" i="1" s="1"/>
  <c r="CG16" i="1"/>
  <c r="CG27" i="1"/>
  <c r="CF27" i="1"/>
  <c r="CI27" i="1" s="1"/>
  <c r="CK27" i="1" s="1"/>
  <c r="CO27" i="1" s="1"/>
  <c r="CF31" i="1"/>
  <c r="CI31" i="1" s="1"/>
  <c r="CG31" i="1"/>
  <c r="AX84" i="1"/>
  <c r="AX77" i="1"/>
  <c r="BZ23" i="1"/>
  <c r="CA23" i="1" s="1"/>
  <c r="CB23" i="1" s="1"/>
  <c r="BA24" i="1"/>
  <c r="AY88" i="1"/>
  <c r="AY103" i="1"/>
  <c r="AY84" i="1"/>
  <c r="AY25" i="1"/>
  <c r="AY94" i="1"/>
  <c r="AY97" i="1"/>
  <c r="AY77" i="1" l="1"/>
  <c r="BA47" i="1"/>
  <c r="BA56" i="1"/>
  <c r="AZ33" i="1"/>
  <c r="AY33" i="1"/>
  <c r="CD31" i="1"/>
  <c r="CG23" i="1"/>
  <c r="CF23" i="1"/>
  <c r="CI23" i="1" s="1"/>
  <c r="CK31" i="1"/>
  <c r="CO31" i="1" s="1"/>
  <c r="CD27" i="1"/>
  <c r="CD16" i="1"/>
  <c r="CF16" i="1"/>
  <c r="CI16" i="1" s="1"/>
  <c r="CK16" i="1" s="1"/>
  <c r="CO16" i="1" s="1"/>
  <c r="CD25" i="1"/>
  <c r="CD17" i="1"/>
  <c r="CF17" i="1"/>
  <c r="CI17" i="1" s="1"/>
  <c r="CK33" i="1"/>
  <c r="CO33" i="1" s="1"/>
  <c r="CD33" i="1"/>
  <c r="CK24" i="1"/>
  <c r="CO24" i="1" s="1"/>
  <c r="CD24" i="1"/>
  <c r="CD18" i="1"/>
  <c r="CF18" i="1"/>
  <c r="CI18" i="1" s="1"/>
  <c r="CK18" i="1" s="1"/>
  <c r="CO18" i="1" s="1"/>
  <c r="CD29" i="1"/>
  <c r="CD21" i="1"/>
  <c r="CF21" i="1"/>
  <c r="CI21" i="1" s="1"/>
  <c r="CK21" i="1" s="1"/>
  <c r="CO21" i="1" s="1"/>
  <c r="CI15" i="1"/>
  <c r="CG20" i="1"/>
  <c r="CK32" i="1"/>
  <c r="CO32" i="1" s="1"/>
  <c r="CD32" i="1"/>
  <c r="CD19" i="1"/>
  <c r="CF19" i="1"/>
  <c r="CI19" i="1" s="1"/>
  <c r="CK19" i="1" s="1"/>
  <c r="CO19" i="1" s="1"/>
  <c r="CK28" i="1"/>
  <c r="CO28" i="1" s="1"/>
  <c r="CD28" i="1"/>
  <c r="CK26" i="1"/>
  <c r="CO26" i="1" s="1"/>
  <c r="CD26" i="1"/>
  <c r="CD22" i="1"/>
  <c r="CK30" i="1"/>
  <c r="CO30" i="1" s="1"/>
  <c r="CD30" i="1"/>
  <c r="BZ58" i="1"/>
  <c r="CA58" i="1"/>
  <c r="CD15" i="1"/>
  <c r="AZ97" i="1"/>
  <c r="BA96" i="1"/>
  <c r="BA97" i="1" s="1"/>
  <c r="AZ94" i="1"/>
  <c r="BA90" i="1"/>
  <c r="BA94" i="1" s="1"/>
  <c r="AZ25" i="1"/>
  <c r="BA16" i="1"/>
  <c r="BA25" i="1" s="1"/>
  <c r="AZ84" i="1"/>
  <c r="BA79" i="1"/>
  <c r="BA84" i="1" s="1"/>
  <c r="AZ103" i="1"/>
  <c r="BA99" i="1"/>
  <c r="BA103" i="1" s="1"/>
  <c r="AZ88" i="1"/>
  <c r="BA86" i="1"/>
  <c r="BA88" i="1" s="1"/>
  <c r="AZ77" i="1"/>
  <c r="BA35" i="1"/>
  <c r="BA77" i="1" l="1"/>
  <c r="BA27" i="1"/>
  <c r="BA33" i="1" s="1"/>
  <c r="CG58" i="1"/>
  <c r="CB58" i="1"/>
  <c r="CK15" i="1"/>
  <c r="CO15" i="1" s="1"/>
  <c r="CD20" i="1"/>
  <c r="CF20" i="1"/>
  <c r="CI20" i="1" s="1"/>
  <c r="CK20" i="1" s="1"/>
  <c r="CO20" i="1" s="1"/>
  <c r="CK17" i="1"/>
  <c r="CO17" i="1" s="1"/>
  <c r="CK23" i="1"/>
  <c r="CO23" i="1" s="1"/>
  <c r="CD23" i="1"/>
  <c r="CF58" i="1" l="1"/>
  <c r="CD58" i="1"/>
  <c r="CI58" i="1"/>
  <c r="CO58" i="1"/>
  <c r="CK58" i="1"/>
</calcChain>
</file>

<file path=xl/sharedStrings.xml><?xml version="1.0" encoding="utf-8"?>
<sst xmlns="http://schemas.openxmlformats.org/spreadsheetml/2006/main" count="571" uniqueCount="254">
  <si>
    <t>Стоимость договора</t>
  </si>
  <si>
    <t>Процент этапа-устанавливается вручную</t>
  </si>
  <si>
    <t>Стоимость подрядных работ</t>
  </si>
  <si>
    <t>Наименование работ- выпадает из общего списка работ (может задаваться вручную)</t>
  </si>
  <si>
    <t>Сумма работ СПИК</t>
  </si>
  <si>
    <t>Процент участия на этапе-устанавливается вручную</t>
  </si>
  <si>
    <t>Бюджет проекта</t>
  </si>
  <si>
    <t>КТУ-расчетный параметр</t>
  </si>
  <si>
    <t>Заработок на проекте-расчетный параметр</t>
  </si>
  <si>
    <t xml:space="preserve">Расчетная таблица </t>
  </si>
  <si>
    <t>Плановое к-во часов (дней) на выполнение задачи-расчетное значение</t>
  </si>
  <si>
    <t>№</t>
  </si>
  <si>
    <t>Процент этапа</t>
  </si>
  <si>
    <t>Наименование работ</t>
  </si>
  <si>
    <t>Процент участия на этапе</t>
  </si>
  <si>
    <t>ФИО</t>
  </si>
  <si>
    <t>КТУ</t>
  </si>
  <si>
    <t>Заработок на проекте, руб</t>
  </si>
  <si>
    <t>Плановое к-во часов на выполнение задачи</t>
  </si>
  <si>
    <t>Плановое к-во рабочих дней на выполнение задачи</t>
  </si>
  <si>
    <t>Разработка ИД</t>
  </si>
  <si>
    <t>Обследование производства</t>
  </si>
  <si>
    <t>Сорокин</t>
  </si>
  <si>
    <t>Шилин</t>
  </si>
  <si>
    <t>Левина</t>
  </si>
  <si>
    <t>Маркина</t>
  </si>
  <si>
    <t>Сараев</t>
  </si>
  <si>
    <t>Арефьева</t>
  </si>
  <si>
    <t>Лепеха</t>
  </si>
  <si>
    <t>Чекунов</t>
  </si>
  <si>
    <t>Балуева</t>
  </si>
  <si>
    <t>Итого</t>
  </si>
  <si>
    <t xml:space="preserve"> Разработка ЗТД</t>
  </si>
  <si>
    <t>АТХ. ОЛ1, АТХ.С</t>
  </si>
  <si>
    <t>АТХ. ОЛ2, АТХ.С</t>
  </si>
  <si>
    <t>Разработка ТО, ЭМ</t>
  </si>
  <si>
    <t>АТХ.1</t>
  </si>
  <si>
    <t>Никифорчук</t>
  </si>
  <si>
    <t>Галямова</t>
  </si>
  <si>
    <t>АТХ.2</t>
  </si>
  <si>
    <t>Аршава</t>
  </si>
  <si>
    <t>Онофрей</t>
  </si>
  <si>
    <t>АТХ.3</t>
  </si>
  <si>
    <t>Мусаев</t>
  </si>
  <si>
    <t>Нечаев</t>
  </si>
  <si>
    <t>АТХ.4</t>
  </si>
  <si>
    <t>Стариков</t>
  </si>
  <si>
    <t>Буто</t>
  </si>
  <si>
    <t>АТХ.5</t>
  </si>
  <si>
    <t>Сандлер</t>
  </si>
  <si>
    <t>Шаманина</t>
  </si>
  <si>
    <t>АТХ.6</t>
  </si>
  <si>
    <t>АТХ.7</t>
  </si>
  <si>
    <t>АТХ.8</t>
  </si>
  <si>
    <t>АТХ.ЗД1</t>
  </si>
  <si>
    <t>АТХ.ЗД2</t>
  </si>
  <si>
    <t>АТХ.ЗД3</t>
  </si>
  <si>
    <t>АТХ.ЗД4</t>
  </si>
  <si>
    <t>АТХ.ЗД5</t>
  </si>
  <si>
    <t>ВОР</t>
  </si>
  <si>
    <t>АТХ.ТСБ</t>
  </si>
  <si>
    <t>АТХ.Н1</t>
  </si>
  <si>
    <t>АТХ.Н2</t>
  </si>
  <si>
    <t>АТХ.ВД</t>
  </si>
  <si>
    <t>ЭМ</t>
  </si>
  <si>
    <t>Разработка ИО, МО</t>
  </si>
  <si>
    <t>ИО</t>
  </si>
  <si>
    <t xml:space="preserve">МО </t>
  </si>
  <si>
    <t>Разработка ПЗ</t>
  </si>
  <si>
    <t>Пояснительная записка</t>
  </si>
  <si>
    <t>Разработка СМ</t>
  </si>
  <si>
    <t>Сметы</t>
  </si>
  <si>
    <t>Корректировка регламента</t>
  </si>
  <si>
    <t>Регламент</t>
  </si>
  <si>
    <t>Руководство проектом</t>
  </si>
  <si>
    <t>Руководство</t>
  </si>
  <si>
    <t>номер договора</t>
  </si>
  <si>
    <t>дата заключения</t>
  </si>
  <si>
    <t>рублей</t>
  </si>
  <si>
    <t>Проект_5</t>
  </si>
  <si>
    <t>Проект_6</t>
  </si>
  <si>
    <t>Проект_7</t>
  </si>
  <si>
    <t>Проект_8</t>
  </si>
  <si>
    <t>Проект_9</t>
  </si>
  <si>
    <t>Проект_10</t>
  </si>
  <si>
    <t>Проект_11</t>
  </si>
  <si>
    <t>Проект_12</t>
  </si>
  <si>
    <t>Проект_13</t>
  </si>
  <si>
    <t>Проект_14</t>
  </si>
  <si>
    <t>Проект_15</t>
  </si>
  <si>
    <t>Проект_16</t>
  </si>
  <si>
    <t>Проект_17</t>
  </si>
  <si>
    <t>Проект_18</t>
  </si>
  <si>
    <t>Проект_19</t>
  </si>
  <si>
    <t>Проект_20</t>
  </si>
  <si>
    <t>Проект_21</t>
  </si>
  <si>
    <t>Проект_22</t>
  </si>
  <si>
    <t>Проект_23</t>
  </si>
  <si>
    <t>Проект_24</t>
  </si>
  <si>
    <t>Проект_25</t>
  </si>
  <si>
    <t>Проект_26</t>
  </si>
  <si>
    <t>Проект_27</t>
  </si>
  <si>
    <t>Проект_28</t>
  </si>
  <si>
    <t>Проект_29</t>
  </si>
  <si>
    <t>Проект_30</t>
  </si>
  <si>
    <t>Проект_31</t>
  </si>
  <si>
    <t>Проект_32</t>
  </si>
  <si>
    <t>Проект_33</t>
  </si>
  <si>
    <t>аа-45566-775</t>
  </si>
  <si>
    <t>аа-45566-778</t>
  </si>
  <si>
    <t>аа-45566-712</t>
  </si>
  <si>
    <t>аа-45566-718</t>
  </si>
  <si>
    <t>аа-45566-743</t>
  </si>
  <si>
    <t>аа-45566-798</t>
  </si>
  <si>
    <t>аа-45566-745</t>
  </si>
  <si>
    <t>аа-45566-786</t>
  </si>
  <si>
    <t>аа-455-778</t>
  </si>
  <si>
    <t>аа-45566-7345</t>
  </si>
  <si>
    <t>аа-45566-7678</t>
  </si>
  <si>
    <t>аа-45566-723</t>
  </si>
  <si>
    <t>аа-45566-748</t>
  </si>
  <si>
    <t>аа-45566-7234</t>
  </si>
  <si>
    <t>аа-45566-7456878</t>
  </si>
  <si>
    <t>аа-45566-7435</t>
  </si>
  <si>
    <t>аа-45566-4735</t>
  </si>
  <si>
    <t>аа-45566-9755</t>
  </si>
  <si>
    <t>аа-45566-457</t>
  </si>
  <si>
    <t>аа-45566-767843</t>
  </si>
  <si>
    <t>аа-45566-45623</t>
  </si>
  <si>
    <t>аа-45566-3452</t>
  </si>
  <si>
    <t>аа-45566-09887</t>
  </si>
  <si>
    <t>аа-45566-h564</t>
  </si>
  <si>
    <t>аа-45566-56743</t>
  </si>
  <si>
    <t>аа-45566-8675</t>
  </si>
  <si>
    <t>аа-45566-7444</t>
  </si>
  <si>
    <t>аа-45566-9888</t>
  </si>
  <si>
    <t>ст. 11</t>
  </si>
  <si>
    <t>ст. 12</t>
  </si>
  <si>
    <t>в работе</t>
  </si>
  <si>
    <t>заключается</t>
  </si>
  <si>
    <t>закрыт</t>
  </si>
  <si>
    <t>расторгнут</t>
  </si>
  <si>
    <t>ПНР</t>
  </si>
  <si>
    <t>Согласование</t>
  </si>
  <si>
    <t>Другое</t>
  </si>
  <si>
    <t>Неопределен</t>
  </si>
  <si>
    <t xml:space="preserve"> контрагент</t>
  </si>
  <si>
    <t>ст. 13</t>
  </si>
  <si>
    <t>реестр договоров</t>
  </si>
  <si>
    <t>Стоим.  договора</t>
  </si>
  <si>
    <t>Стоим.  Подрядн. работ</t>
  </si>
  <si>
    <t>ГИП</t>
  </si>
  <si>
    <t>Иванов И.И</t>
  </si>
  <si>
    <t>Петров В.С</t>
  </si>
  <si>
    <t>Нестеренко В.П</t>
  </si>
  <si>
    <t>Самойлов В.Н</t>
  </si>
  <si>
    <t>Кривенков С.С</t>
  </si>
  <si>
    <t>Тудасов М.И</t>
  </si>
  <si>
    <t>Сидоров А.А</t>
  </si>
  <si>
    <t>Неглинкин В.А</t>
  </si>
  <si>
    <t>Хамовкин Е.А</t>
  </si>
  <si>
    <t>Нагаев Н.Н</t>
  </si>
  <si>
    <t>статус договора</t>
  </si>
  <si>
    <t>пор.№ в реестре договор.</t>
  </si>
  <si>
    <t>первичные переговоры</t>
  </si>
  <si>
    <t>Опытная  Эксплуатация</t>
  </si>
  <si>
    <t>Промышленная Эксплуатация</t>
  </si>
  <si>
    <t>Проект</t>
  </si>
  <si>
    <t>Водоочисные соорудения</t>
  </si>
  <si>
    <t>Газоконденсатная станция</t>
  </si>
  <si>
    <t>Кусты</t>
  </si>
  <si>
    <t>Договор_5</t>
  </si>
  <si>
    <t>Договор_6</t>
  </si>
  <si>
    <t>Договор_7</t>
  </si>
  <si>
    <t>Договор_8</t>
  </si>
  <si>
    <t>Договор_9</t>
  </si>
  <si>
    <t>Договор_10</t>
  </si>
  <si>
    <t>Договор_11</t>
  </si>
  <si>
    <t>Договор_12</t>
  </si>
  <si>
    <t>Договор_13</t>
  </si>
  <si>
    <t>Договор_14</t>
  </si>
  <si>
    <t>Договор_15</t>
  </si>
  <si>
    <t>Договор_16</t>
  </si>
  <si>
    <t>Договор_17</t>
  </si>
  <si>
    <t>Договор_18</t>
  </si>
  <si>
    <t>Договор_19</t>
  </si>
  <si>
    <t>Договор_20</t>
  </si>
  <si>
    <t>Договор_21</t>
  </si>
  <si>
    <t>Договор_22</t>
  </si>
  <si>
    <t>Договор_23</t>
  </si>
  <si>
    <t>Договор_24</t>
  </si>
  <si>
    <t>Договор_25</t>
  </si>
  <si>
    <t>Договор_26</t>
  </si>
  <si>
    <t>Договор_28</t>
  </si>
  <si>
    <t>Договор_29</t>
  </si>
  <si>
    <t>Договор_30</t>
  </si>
  <si>
    <t>Договор_31</t>
  </si>
  <si>
    <t>Договор_32</t>
  </si>
  <si>
    <t>Договор_33</t>
  </si>
  <si>
    <t>Договор_34</t>
  </si>
  <si>
    <t>Проект_34</t>
  </si>
  <si>
    <t>11.08.2012</t>
  </si>
  <si>
    <t>Список сотрудников</t>
  </si>
  <si>
    <t>аа-45566-727</t>
  </si>
  <si>
    <t>ООО"Лукоил"</t>
  </si>
  <si>
    <t>Итоговая таблица по проекту</t>
  </si>
  <si>
    <t>Балуев</t>
  </si>
  <si>
    <t>ООО"ГазПром"</t>
  </si>
  <si>
    <t>аа-45566-776</t>
  </si>
  <si>
    <t>11.08.2016</t>
  </si>
  <si>
    <t>аа-45566-717</t>
  </si>
  <si>
    <t>11.08.2014</t>
  </si>
  <si>
    <t>ООО"РосНефть"</t>
  </si>
  <si>
    <t>11.08.2011</t>
  </si>
  <si>
    <t>2016 11 30__16-26-35</t>
  </si>
  <si>
    <t>аа-45566-7</t>
  </si>
  <si>
    <t>11.08.2013</t>
  </si>
  <si>
    <t>2016 11 30__16-26-57</t>
  </si>
  <si>
    <t>Договор_27</t>
  </si>
  <si>
    <t>Статус проекта</t>
  </si>
  <si>
    <t>2016 11 30__17-03-33</t>
  </si>
  <si>
    <t>11.08.2008</t>
  </si>
  <si>
    <t>ООО"БашНефть"</t>
  </si>
  <si>
    <t>Канализационные стоки</t>
  </si>
  <si>
    <t>Дата/Время изминений</t>
  </si>
  <si>
    <t>2016 11 30__18-20-51</t>
  </si>
  <si>
    <t>аа-45566-7777</t>
  </si>
  <si>
    <t>Дообследование  производства</t>
  </si>
  <si>
    <t>Первичное Обследование производства</t>
  </si>
  <si>
    <t>Внеплановое Обследование производства</t>
  </si>
  <si>
    <t>Зарплата сотрудника за месяц                                   (ресурсы компании)</t>
  </si>
  <si>
    <t>Разница по времени   в часах                       ( Δ  tв-tф )</t>
  </si>
  <si>
    <t>Зарплата сотрудника  месячная в переводе на (за час)                                  (ресурсы компании)</t>
  </si>
  <si>
    <t>Заработок компании             (деньги заказчика          за задачи)</t>
  </si>
  <si>
    <t xml:space="preserve">Компания заработает на сотруднике </t>
  </si>
  <si>
    <t>Компания затратит на сотрудника</t>
  </si>
  <si>
    <t>Фактически затраченное , или                             предлогаемое сотрудником                            к-во часов участия на проекте (tф)</t>
  </si>
  <si>
    <t>(исходя из зарплаты сотрудника) Рентабельное  (безубыточное)  для Компании   к-во часов  участия  Сотрудника на проекте (tв)</t>
  </si>
  <si>
    <t>Премия сотруднику за принесенную им  в Компанию прибыль (рублей)</t>
  </si>
  <si>
    <r>
      <t xml:space="preserve">Прибыль компании,  на сотруднике ,                разница  в деньгах                             между ( </t>
    </r>
    <r>
      <rPr>
        <sz val="10"/>
        <color theme="1"/>
        <rFont val="Calibri"/>
        <family val="2"/>
      </rPr>
      <t>Δ  tв-tф</t>
    </r>
    <r>
      <rPr>
        <sz val="10"/>
        <color theme="1"/>
        <rFont val="Calibri"/>
        <family val="2"/>
        <scheme val="minor"/>
      </rPr>
      <t xml:space="preserve"> )</t>
    </r>
  </si>
  <si>
    <t xml:space="preserve">Прибыль компании,  на сотруднике ,  за вычитом выплаченной ему премии                             </t>
  </si>
  <si>
    <t>Фактически затраченное , или                             предлогаемое сотрудником                            к-во ДНЕЙ участия на проекте</t>
  </si>
  <si>
    <t>2016 12 03__18-19-32</t>
  </si>
  <si>
    <t>Рентабельное к-во дней  на проекте</t>
  </si>
  <si>
    <t>(%)Премии сотруднику от принесенной им  в Компанию прибыли (%)</t>
  </si>
  <si>
    <t xml:space="preserve">повышающий коэффициент для рентабельного                 к-ва часов участия </t>
  </si>
  <si>
    <t>11.08.2010</t>
  </si>
  <si>
    <t>2016 12 04__17-03-30</t>
  </si>
  <si>
    <t>2016 12 04__19-21-05</t>
  </si>
  <si>
    <t>2016 12 04__23-03-06</t>
  </si>
  <si>
    <t>ЭТАП</t>
  </si>
  <si>
    <t>2016 12 10__19-36-09</t>
  </si>
  <si>
    <t>OOO"ТрансГаз"</t>
  </si>
  <si>
    <t>5656-9898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</si>
</sst>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(* #,##0_);_(* \(#,##0\);_(* &quot;-&quot;_);_(@_)"/>
    <numFmt numFmtId="165" formatCode="_(&quot;р.&quot;* #,##0.00_);_(&quot;р.&quot;* \(#,##0.00\);_(&quot;р.&quot;* &quot;-&quot;??_);_(@_)"/>
    <numFmt numFmtId="166" formatCode="_(* #,##0.00_);_(* \(#,##0.00\);_(* &quot;-&quot;??_);_(@_)"/>
    <numFmt numFmtId="167" formatCode="0.0"/>
    <numFmt numFmtId="168" formatCode="_-* #,##0.0&quot;р.&quot;_-;\-* #,##0.0&quot;р.&quot;_-;_-* &quot;-&quot;?&quot;р.&quot;_-;_-@_-"/>
    <numFmt numFmtId="169" formatCode="#,##0.00&quot;р.&quot;"/>
    <numFmt numFmtId="170" formatCode="_-* #,##0.0_р_._-;\-* #,##0.0_р_._-;_-* &quot;-&quot;?_р_._-;_-@_-"/>
    <numFmt numFmtId="171" formatCode="#,##0.0&quot;р.&quot;"/>
    <numFmt numFmtId="172" formatCode="[$$-409]#,##0.00"/>
    <numFmt numFmtId="173" formatCode="#,##0&quot;р.&quot;"/>
    <numFmt numFmtId="174" formatCode="#,##0.00_ ;\-#,##0.00\ "/>
  </numFmts>
  <fonts count="16" x14ac:knownFonts="1">
    <font>
      <sz val="11"/>
      <color theme="1"/>
      <name val="Calibri"/>
      <family val="2"/>
      <scheme val="minor"/>
    </font>
    <font>
      <sz val="14"/>
      <name val="Arial CYR"/>
      <family val="2"/>
      <charset val="204"/>
    </font>
    <font>
      <b/>
      <sz val="8"/>
      <name val="Arial CYR"/>
      <charset val="204"/>
    </font>
    <font>
      <sz val="8"/>
      <name val="Arial CYR"/>
      <family val="2"/>
      <charset val="204"/>
    </font>
    <font>
      <b/>
      <sz val="10"/>
      <name val="Arial CYR"/>
      <family val="2"/>
      <charset val="204"/>
    </font>
    <font>
      <b/>
      <sz val="12"/>
      <name val="Arial CYR"/>
      <charset val="204"/>
    </font>
    <font>
      <b/>
      <sz val="10"/>
      <name val="Arial Cyr"/>
      <charset val="204"/>
    </font>
    <font>
      <b/>
      <sz val="11"/>
      <name val="Arial CYR"/>
      <charset val="204"/>
    </font>
    <font>
      <sz val="8"/>
      <name val="Arial Cyr"/>
      <charset val="204"/>
    </font>
    <font>
      <sz val="10"/>
      <name val="Arial CYR"/>
      <family val="2"/>
      <charset val="204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0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color theme="1"/>
      <name val="Calibri"/>
      <family val="2"/>
      <scheme val="minor"/>
    </font>
    <font>
      <sz val="10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40">
    <xf numFmtId="0" fontId="0" fillId="0" borderId="0" xfId="0"/>
    <xf numFmtId="167" fontId="0" fillId="0" borderId="0" xfId="0" applyNumberFormat="1"/>
    <xf numFmtId="0" fontId="0" fillId="0" borderId="0" xfId="0" applyBorder="1"/>
    <xf numFmtId="170" fontId="3" fillId="0" borderId="12" xfId="0" applyNumberFormat="1" applyFont="1" applyBorder="1" applyAlignment="1">
      <alignment horizontal="center"/>
    </xf>
    <xf numFmtId="166" fontId="3" fillId="0" borderId="12" xfId="0" applyNumberFormat="1" applyFont="1" applyBorder="1" applyAlignment="1">
      <alignment horizontal="center"/>
    </xf>
    <xf numFmtId="4" fontId="3" fillId="0" borderId="12" xfId="0" applyNumberFormat="1" applyFont="1" applyBorder="1" applyAlignment="1">
      <alignment horizontal="center"/>
    </xf>
    <xf numFmtId="3" fontId="0" fillId="0" borderId="4" xfId="0" applyNumberFormat="1" applyBorder="1" applyAlignment="1">
      <alignment horizontal="center"/>
    </xf>
    <xf numFmtId="170" fontId="3" fillId="0" borderId="14" xfId="0" applyNumberFormat="1" applyFont="1" applyBorder="1" applyAlignment="1">
      <alignment horizontal="center"/>
    </xf>
    <xf numFmtId="170" fontId="3" fillId="0" borderId="18" xfId="0" applyNumberFormat="1" applyFont="1" applyBorder="1" applyAlignment="1">
      <alignment horizontal="center"/>
    </xf>
    <xf numFmtId="166" fontId="3" fillId="0" borderId="7" xfId="0" applyNumberFormat="1" applyFont="1" applyBorder="1" applyAlignment="1">
      <alignment horizontal="center"/>
    </xf>
    <xf numFmtId="4" fontId="3" fillId="0" borderId="7" xfId="0" applyNumberFormat="1" applyFont="1" applyBorder="1" applyAlignment="1">
      <alignment horizontal="center"/>
    </xf>
    <xf numFmtId="3" fontId="0" fillId="0" borderId="7" xfId="0" applyNumberFormat="1" applyBorder="1" applyAlignment="1">
      <alignment horizontal="center"/>
    </xf>
    <xf numFmtId="170" fontId="7" fillId="0" borderId="4" xfId="0" applyNumberFormat="1" applyFont="1" applyBorder="1" applyAlignment="1">
      <alignment vertical="center"/>
    </xf>
    <xf numFmtId="0" fontId="7" fillId="0" borderId="4" xfId="0" applyFont="1" applyBorder="1" applyAlignment="1">
      <alignment vertical="center"/>
    </xf>
    <xf numFmtId="166" fontId="7" fillId="0" borderId="2" xfId="0" applyNumberFormat="1" applyFont="1" applyBorder="1" applyAlignment="1">
      <alignment horizontal="center"/>
    </xf>
    <xf numFmtId="4" fontId="7" fillId="0" borderId="4" xfId="0" applyNumberFormat="1" applyFont="1" applyBorder="1" applyAlignment="1">
      <alignment horizontal="center"/>
    </xf>
    <xf numFmtId="3" fontId="7" fillId="0" borderId="2" xfId="0" applyNumberFormat="1" applyFont="1" applyBorder="1" applyAlignment="1">
      <alignment horizontal="center"/>
    </xf>
    <xf numFmtId="3" fontId="7" fillId="0" borderId="4" xfId="0" applyNumberFormat="1" applyFont="1" applyBorder="1" applyAlignment="1">
      <alignment horizontal="center"/>
    </xf>
    <xf numFmtId="0" fontId="3" fillId="0" borderId="22" xfId="0" applyFont="1" applyBorder="1" applyAlignment="1">
      <alignment horizontal="center" vertical="top"/>
    </xf>
    <xf numFmtId="170" fontId="3" fillId="0" borderId="23" xfId="0" applyNumberFormat="1" applyFont="1" applyBorder="1" applyAlignment="1">
      <alignment horizontal="center"/>
    </xf>
    <xf numFmtId="166" fontId="3" fillId="0" borderId="23" xfId="0" applyNumberFormat="1" applyFont="1" applyBorder="1"/>
    <xf numFmtId="4" fontId="3" fillId="0" borderId="23" xfId="0" applyNumberFormat="1" applyFont="1" applyBorder="1" applyAlignment="1">
      <alignment horizontal="center"/>
    </xf>
    <xf numFmtId="3" fontId="0" fillId="0" borderId="24" xfId="0" applyNumberFormat="1" applyBorder="1" applyAlignment="1">
      <alignment horizontal="center"/>
    </xf>
    <xf numFmtId="2" fontId="3" fillId="0" borderId="26" xfId="0" applyNumberFormat="1" applyFont="1" applyFill="1" applyBorder="1" applyAlignment="1">
      <alignment horizontal="center"/>
    </xf>
    <xf numFmtId="171" fontId="3" fillId="0" borderId="26" xfId="0" applyNumberFormat="1" applyFont="1" applyBorder="1" applyAlignment="1">
      <alignment horizontal="center"/>
    </xf>
    <xf numFmtId="3" fontId="0" fillId="0" borderId="26" xfId="0" applyNumberFormat="1" applyBorder="1" applyAlignment="1">
      <alignment horizontal="center"/>
    </xf>
    <xf numFmtId="3" fontId="0" fillId="0" borderId="27" xfId="0" applyNumberFormat="1" applyBorder="1" applyAlignment="1">
      <alignment horizontal="center"/>
    </xf>
    <xf numFmtId="0" fontId="3" fillId="0" borderId="22" xfId="0" applyFont="1" applyBorder="1" applyAlignment="1">
      <alignment horizontal="center" vertical="center"/>
    </xf>
    <xf numFmtId="0" fontId="3" fillId="0" borderId="22" xfId="0" applyFont="1" applyBorder="1" applyAlignment="1">
      <alignment vertical="top"/>
    </xf>
    <xf numFmtId="166" fontId="3" fillId="0" borderId="12" xfId="0" applyNumberFormat="1" applyFont="1" applyBorder="1"/>
    <xf numFmtId="2" fontId="3" fillId="0" borderId="29" xfId="0" applyNumberFormat="1" applyFont="1" applyFill="1" applyBorder="1" applyAlignment="1">
      <alignment horizontal="center"/>
    </xf>
    <xf numFmtId="171" fontId="3" fillId="0" borderId="29" xfId="0" applyNumberFormat="1" applyFont="1" applyBorder="1" applyAlignment="1">
      <alignment horizontal="center"/>
    </xf>
    <xf numFmtId="3" fontId="0" fillId="0" borderId="29" xfId="0" applyNumberFormat="1" applyBorder="1" applyAlignment="1">
      <alignment horizontal="center"/>
    </xf>
    <xf numFmtId="0" fontId="3" fillId="0" borderId="24" xfId="0" applyFont="1" applyBorder="1" applyAlignment="1">
      <alignment vertical="top"/>
    </xf>
    <xf numFmtId="172" fontId="3" fillId="0" borderId="21" xfId="0" applyNumberFormat="1" applyFont="1" applyBorder="1"/>
    <xf numFmtId="0" fontId="3" fillId="0" borderId="7" xfId="0" applyFont="1" applyBorder="1" applyAlignment="1">
      <alignment horizontal="center" vertical="top"/>
    </xf>
    <xf numFmtId="2" fontId="3" fillId="0" borderId="22" xfId="0" applyNumberFormat="1" applyFont="1" applyBorder="1" applyAlignment="1">
      <alignment horizontal="right"/>
    </xf>
    <xf numFmtId="172" fontId="3" fillId="0" borderId="18" xfId="0" applyNumberFormat="1" applyFont="1" applyBorder="1"/>
    <xf numFmtId="166" fontId="3" fillId="0" borderId="7" xfId="0" applyNumberFormat="1" applyFont="1" applyBorder="1"/>
    <xf numFmtId="170" fontId="3" fillId="0" borderId="23" xfId="0" applyNumberFormat="1" applyFont="1" applyBorder="1" applyAlignment="1">
      <alignment horizontal="center" vertical="center"/>
    </xf>
    <xf numFmtId="170" fontId="3" fillId="0" borderId="21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0" fontId="3" fillId="0" borderId="32" xfId="0" applyNumberFormat="1" applyFont="1" applyBorder="1" applyAlignment="1">
      <alignment horizontal="center" vertical="center"/>
    </xf>
    <xf numFmtId="170" fontId="3" fillId="0" borderId="33" xfId="0" applyNumberFormat="1" applyFont="1" applyBorder="1" applyAlignment="1">
      <alignment horizontal="center" vertical="center"/>
    </xf>
    <xf numFmtId="170" fontId="3" fillId="0" borderId="12" xfId="0" applyNumberFormat="1" applyFont="1" applyBorder="1" applyAlignment="1">
      <alignment horizontal="center" vertical="center"/>
    </xf>
    <xf numFmtId="170" fontId="3" fillId="0" borderId="6" xfId="0" applyNumberFormat="1" applyFont="1" applyBorder="1" applyAlignment="1">
      <alignment horizontal="center" vertical="center"/>
    </xf>
    <xf numFmtId="170" fontId="3" fillId="0" borderId="7" xfId="0" applyNumberFormat="1" applyFont="1" applyBorder="1" applyAlignment="1">
      <alignment horizontal="center" vertical="center"/>
    </xf>
    <xf numFmtId="171" fontId="3" fillId="0" borderId="29" xfId="0" applyNumberFormat="1" applyFont="1" applyFill="1" applyBorder="1" applyAlignment="1">
      <alignment horizontal="center"/>
    </xf>
    <xf numFmtId="0" fontId="3" fillId="0" borderId="22" xfId="0" applyFont="1" applyBorder="1" applyAlignment="1">
      <alignment vertical="center"/>
    </xf>
    <xf numFmtId="170" fontId="3" fillId="0" borderId="14" xfId="0" applyNumberFormat="1" applyFont="1" applyBorder="1" applyAlignment="1">
      <alignment horizontal="center" vertical="center"/>
    </xf>
    <xf numFmtId="170" fontId="3" fillId="0" borderId="8" xfId="0" applyNumberFormat="1" applyFont="1" applyBorder="1" applyAlignment="1">
      <alignment horizontal="center" vertical="center"/>
    </xf>
    <xf numFmtId="170" fontId="3" fillId="0" borderId="13" xfId="0" applyNumberFormat="1" applyFont="1" applyBorder="1" applyAlignment="1">
      <alignment horizontal="center" vertical="center"/>
    </xf>
    <xf numFmtId="170" fontId="3" fillId="0" borderId="20" xfId="0" applyNumberFormat="1" applyFont="1" applyBorder="1" applyAlignment="1">
      <alignment horizontal="center" vertical="center"/>
    </xf>
    <xf numFmtId="170" fontId="3" fillId="0" borderId="0" xfId="0" applyNumberFormat="1" applyFont="1" applyBorder="1" applyAlignment="1">
      <alignment horizontal="center" vertical="center"/>
    </xf>
    <xf numFmtId="170" fontId="3" fillId="0" borderId="34" xfId="0" applyNumberFormat="1" applyFont="1" applyBorder="1" applyAlignment="1">
      <alignment horizontal="center" vertical="center"/>
    </xf>
    <xf numFmtId="0" fontId="0" fillId="0" borderId="10" xfId="0" applyBorder="1"/>
    <xf numFmtId="170" fontId="3" fillId="0" borderId="11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7" xfId="0" applyFont="1" applyBorder="1" applyAlignment="1">
      <alignment vertical="center"/>
    </xf>
    <xf numFmtId="170" fontId="3" fillId="0" borderId="36" xfId="0" applyNumberFormat="1" applyFont="1" applyBorder="1" applyAlignment="1">
      <alignment horizontal="center" vertical="center"/>
    </xf>
    <xf numFmtId="170" fontId="3" fillId="0" borderId="22" xfId="0" applyNumberFormat="1" applyFont="1" applyBorder="1" applyAlignment="1">
      <alignment horizontal="center" vertical="center"/>
    </xf>
    <xf numFmtId="170" fontId="3" fillId="0" borderId="18" xfId="0" applyNumberFormat="1" applyFont="1" applyBorder="1" applyAlignment="1">
      <alignment horizontal="center" vertical="center"/>
    </xf>
    <xf numFmtId="0" fontId="3" fillId="0" borderId="6" xfId="0" applyFont="1" applyBorder="1" applyAlignment="1">
      <alignment vertical="center"/>
    </xf>
    <xf numFmtId="0" fontId="3" fillId="0" borderId="6" xfId="0" applyFont="1" applyBorder="1" applyAlignment="1">
      <alignment horizontal="center" vertical="center"/>
    </xf>
    <xf numFmtId="170" fontId="3" fillId="0" borderId="11" xfId="0" applyNumberFormat="1" applyFont="1" applyBorder="1" applyAlignment="1">
      <alignment horizontal="center"/>
    </xf>
    <xf numFmtId="170" fontId="3" fillId="0" borderId="17" xfId="0" applyNumberFormat="1" applyFont="1" applyBorder="1" applyAlignment="1">
      <alignment horizontal="center"/>
    </xf>
    <xf numFmtId="170" fontId="3" fillId="0" borderId="36" xfId="0" applyNumberFormat="1" applyFont="1" applyBorder="1" applyAlignment="1">
      <alignment horizontal="center"/>
    </xf>
    <xf numFmtId="170" fontId="3" fillId="0" borderId="13" xfId="0" applyNumberFormat="1" applyFont="1" applyBorder="1" applyAlignment="1">
      <alignment horizontal="center"/>
    </xf>
    <xf numFmtId="170" fontId="3" fillId="0" borderId="21" xfId="0" applyNumberFormat="1" applyFont="1" applyBorder="1" applyAlignment="1">
      <alignment horizontal="center"/>
    </xf>
    <xf numFmtId="0" fontId="3" fillId="0" borderId="38" xfId="0" applyFont="1" applyBorder="1" applyAlignment="1">
      <alignment vertical="center"/>
    </xf>
    <xf numFmtId="0" fontId="3" fillId="0" borderId="37" xfId="0" applyFont="1" applyBorder="1" applyAlignment="1">
      <alignment vertical="center"/>
    </xf>
    <xf numFmtId="170" fontId="3" fillId="0" borderId="24" xfId="0" applyNumberFormat="1" applyFont="1" applyFill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67" fontId="3" fillId="0" borderId="0" xfId="0" applyNumberFormat="1" applyFont="1" applyAlignment="1">
      <alignment horizontal="center"/>
    </xf>
    <xf numFmtId="0" fontId="6" fillId="0" borderId="0" xfId="0" applyFont="1" applyBorder="1" applyAlignment="1">
      <alignment horizontal="center" vertical="center"/>
    </xf>
    <xf numFmtId="0" fontId="3" fillId="0" borderId="0" xfId="0" applyFont="1" applyBorder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/>
    <xf numFmtId="0" fontId="0" fillId="0" borderId="0" xfId="0" applyFill="1"/>
    <xf numFmtId="167" fontId="0" fillId="0" borderId="0" xfId="0" applyNumberFormat="1" applyFill="1"/>
    <xf numFmtId="0" fontId="8" fillId="0" borderId="0" xfId="0" applyFont="1" applyFill="1" applyAlignment="1">
      <alignment horizontal="center"/>
    </xf>
    <xf numFmtId="3" fontId="3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167" fontId="3" fillId="0" borderId="0" xfId="0" applyNumberFormat="1" applyFont="1" applyFill="1" applyAlignment="1">
      <alignment horizontal="center"/>
    </xf>
    <xf numFmtId="0" fontId="2" fillId="4" borderId="4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 wrapText="1"/>
    </xf>
    <xf numFmtId="167" fontId="2" fillId="4" borderId="4" xfId="0" applyNumberFormat="1" applyFont="1" applyFill="1" applyBorder="1" applyAlignment="1">
      <alignment horizontal="center" vertical="center" wrapText="1"/>
    </xf>
    <xf numFmtId="0" fontId="2" fillId="0" borderId="29" xfId="0" applyFont="1" applyBorder="1"/>
    <xf numFmtId="0" fontId="2" fillId="0" borderId="0" xfId="0" applyFont="1" applyBorder="1" applyAlignment="1">
      <alignment horizontal="center" vertical="center"/>
    </xf>
    <xf numFmtId="3" fontId="0" fillId="0" borderId="0" xfId="0" applyNumberFormat="1" applyBorder="1" applyAlignment="1">
      <alignment horizontal="center"/>
    </xf>
    <xf numFmtId="3" fontId="7" fillId="0" borderId="0" xfId="0" applyNumberFormat="1" applyFont="1" applyBorder="1" applyAlignment="1">
      <alignment horizontal="center"/>
    </xf>
    <xf numFmtId="0" fontId="0" fillId="5" borderId="0" xfId="0" applyFill="1" applyBorder="1" applyAlignment="1">
      <alignment horizontal="center" vertical="center" wrapText="1"/>
    </xf>
    <xf numFmtId="2" fontId="3" fillId="5" borderId="0" xfId="0" applyNumberFormat="1" applyFont="1" applyFill="1" applyBorder="1" applyAlignment="1">
      <alignment horizontal="center"/>
    </xf>
    <xf numFmtId="171" fontId="3" fillId="5" borderId="0" xfId="0" applyNumberFormat="1" applyFont="1" applyFill="1" applyBorder="1" applyAlignment="1">
      <alignment horizontal="center"/>
    </xf>
    <xf numFmtId="3" fontId="0" fillId="5" borderId="0" xfId="0" applyNumberFormat="1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9" fillId="5" borderId="0" xfId="0" applyFont="1" applyFill="1" applyBorder="1" applyAlignment="1">
      <alignment horizontal="center"/>
    </xf>
    <xf numFmtId="172" fontId="9" fillId="5" borderId="0" xfId="0" applyNumberFormat="1" applyFont="1" applyFill="1" applyBorder="1" applyAlignment="1">
      <alignment horizontal="center"/>
    </xf>
    <xf numFmtId="0" fontId="0" fillId="5" borderId="0" xfId="0" applyFill="1" applyBorder="1"/>
    <xf numFmtId="2" fontId="0" fillId="5" borderId="0" xfId="0" applyNumberFormat="1" applyFill="1" applyBorder="1" applyAlignment="1">
      <alignment horizontal="center"/>
    </xf>
    <xf numFmtId="171" fontId="0" fillId="5" borderId="0" xfId="0" applyNumberFormat="1" applyFill="1" applyBorder="1" applyAlignment="1">
      <alignment horizontal="center"/>
    </xf>
    <xf numFmtId="3" fontId="6" fillId="5" borderId="0" xfId="0" applyNumberFormat="1" applyFont="1" applyFill="1" applyBorder="1" applyAlignment="1">
      <alignment horizontal="center"/>
    </xf>
    <xf numFmtId="0" fontId="0" fillId="5" borderId="0" xfId="0" applyFill="1"/>
    <xf numFmtId="0" fontId="0" fillId="0" borderId="16" xfId="0" applyBorder="1"/>
    <xf numFmtId="0" fontId="0" fillId="5" borderId="16" xfId="0" applyFill="1" applyBorder="1" applyAlignment="1">
      <alignment vertical="center"/>
    </xf>
    <xf numFmtId="169" fontId="0" fillId="5" borderId="39" xfId="0" applyNumberFormat="1" applyFill="1" applyBorder="1" applyAlignment="1">
      <alignment vertical="center"/>
    </xf>
    <xf numFmtId="0" fontId="0" fillId="5" borderId="16" xfId="0" applyFill="1" applyBorder="1" applyAlignment="1">
      <alignment vertical="center" wrapText="1"/>
    </xf>
    <xf numFmtId="0" fontId="0" fillId="0" borderId="39" xfId="0" applyBorder="1"/>
    <xf numFmtId="0" fontId="10" fillId="4" borderId="24" xfId="0" applyFont="1" applyFill="1" applyBorder="1" applyAlignment="1">
      <alignment vertical="center" wrapText="1"/>
    </xf>
    <xf numFmtId="0" fontId="11" fillId="6" borderId="24" xfId="0" applyFont="1" applyFill="1" applyBorder="1" applyAlignment="1">
      <alignment vertical="center" wrapText="1"/>
    </xf>
    <xf numFmtId="0" fontId="10" fillId="6" borderId="24" xfId="0" applyFont="1" applyFill="1" applyBorder="1" applyAlignment="1">
      <alignment vertical="center" wrapText="1"/>
    </xf>
    <xf numFmtId="0" fontId="3" fillId="5" borderId="0" xfId="0" applyFont="1" applyFill="1" applyAlignment="1">
      <alignment horizontal="center" vertical="center"/>
    </xf>
    <xf numFmtId="0" fontId="3" fillId="5" borderId="0" xfId="0" applyFont="1" applyFill="1"/>
    <xf numFmtId="167" fontId="3" fillId="5" borderId="0" xfId="0" applyNumberFormat="1" applyFont="1" applyFill="1" applyAlignment="1">
      <alignment horizontal="center"/>
    </xf>
    <xf numFmtId="164" fontId="3" fillId="5" borderId="0" xfId="0" applyNumberFormat="1" applyFont="1" applyFill="1"/>
    <xf numFmtId="0" fontId="2" fillId="7" borderId="0" xfId="0" applyFont="1" applyFill="1" applyBorder="1"/>
    <xf numFmtId="0" fontId="0" fillId="7" borderId="0" xfId="0" applyFill="1" applyBorder="1"/>
    <xf numFmtId="0" fontId="0" fillId="7" borderId="0" xfId="0" applyFill="1" applyBorder="1" applyAlignment="1">
      <alignment vertical="center"/>
    </xf>
    <xf numFmtId="169" fontId="0" fillId="7" borderId="0" xfId="0" applyNumberFormat="1" applyFill="1" applyBorder="1" applyAlignment="1">
      <alignment vertical="center"/>
    </xf>
    <xf numFmtId="0" fontId="0" fillId="7" borderId="0" xfId="0" applyFill="1" applyBorder="1" applyAlignment="1">
      <alignment vertical="center" wrapText="1"/>
    </xf>
    <xf numFmtId="167" fontId="4" fillId="7" borderId="0" xfId="0" applyNumberFormat="1" applyFont="1" applyFill="1" applyBorder="1" applyAlignment="1">
      <alignment horizontal="center" vertical="center"/>
    </xf>
    <xf numFmtId="0" fontId="0" fillId="7" borderId="8" xfId="0" applyFill="1" applyBorder="1"/>
    <xf numFmtId="0" fontId="0" fillId="7" borderId="9" xfId="0" applyFill="1" applyBorder="1"/>
    <xf numFmtId="167" fontId="0" fillId="7" borderId="9" xfId="0" applyNumberFormat="1" applyFill="1" applyBorder="1"/>
    <xf numFmtId="0" fontId="2" fillId="7" borderId="9" xfId="0" applyFont="1" applyFill="1" applyBorder="1"/>
    <xf numFmtId="0" fontId="0" fillId="7" borderId="10" xfId="0" applyFill="1" applyBorder="1"/>
    <xf numFmtId="0" fontId="0" fillId="7" borderId="5" xfId="0" applyFill="1" applyBorder="1"/>
    <xf numFmtId="167" fontId="0" fillId="7" borderId="0" xfId="0" applyNumberFormat="1" applyFill="1" applyBorder="1"/>
    <xf numFmtId="0" fontId="0" fillId="7" borderId="6" xfId="0" applyFill="1" applyBorder="1"/>
    <xf numFmtId="0" fontId="0" fillId="7" borderId="19" xfId="0" applyFill="1" applyBorder="1"/>
    <xf numFmtId="0" fontId="0" fillId="7" borderId="38" xfId="0" applyFill="1" applyBorder="1"/>
    <xf numFmtId="0" fontId="2" fillId="7" borderId="38" xfId="0" applyFont="1" applyFill="1" applyBorder="1" applyAlignment="1">
      <alignment horizontal="center" vertical="center" wrapText="1"/>
    </xf>
    <xf numFmtId="0" fontId="0" fillId="3" borderId="1" xfId="0" applyFill="1" applyBorder="1"/>
    <xf numFmtId="0" fontId="2" fillId="3" borderId="2" xfId="0" applyFont="1" applyFill="1" applyBorder="1" applyAlignment="1">
      <alignment vertical="center"/>
    </xf>
    <xf numFmtId="0" fontId="0" fillId="3" borderId="2" xfId="0" applyFill="1" applyBorder="1"/>
    <xf numFmtId="166" fontId="3" fillId="3" borderId="2" xfId="0" applyNumberFormat="1" applyFont="1" applyFill="1" applyBorder="1"/>
    <xf numFmtId="4" fontId="3" fillId="3" borderId="2" xfId="0" applyNumberFormat="1" applyFont="1" applyFill="1" applyBorder="1" applyAlignment="1">
      <alignment horizontal="center"/>
    </xf>
    <xf numFmtId="3" fontId="0" fillId="3" borderId="2" xfId="0" applyNumberFormat="1" applyFill="1" applyBorder="1" applyAlignment="1">
      <alignment horizontal="center"/>
    </xf>
    <xf numFmtId="0" fontId="0" fillId="3" borderId="4" xfId="0" applyFill="1" applyBorder="1"/>
    <xf numFmtId="0" fontId="2" fillId="3" borderId="2" xfId="0" applyFont="1" applyFill="1" applyBorder="1" applyAlignment="1">
      <alignment horizontal="center" vertical="center"/>
    </xf>
    <xf numFmtId="3" fontId="0" fillId="3" borderId="3" xfId="0" applyNumberFormat="1" applyFill="1" applyBorder="1" applyAlignment="1">
      <alignment horizontal="center"/>
    </xf>
    <xf numFmtId="3" fontId="0" fillId="3" borderId="4" xfId="0" applyNumberFormat="1" applyFill="1" applyBorder="1" applyAlignment="1">
      <alignment horizontal="center"/>
    </xf>
    <xf numFmtId="0" fontId="0" fillId="3" borderId="1" xfId="0" applyFill="1" applyBorder="1" applyAlignment="1"/>
    <xf numFmtId="0" fontId="0" fillId="3" borderId="2" xfId="0" applyFill="1" applyBorder="1" applyAlignment="1"/>
    <xf numFmtId="0" fontId="3" fillId="3" borderId="2" xfId="0" applyFont="1" applyFill="1" applyBorder="1" applyAlignment="1">
      <alignment vertical="center"/>
    </xf>
    <xf numFmtId="0" fontId="2" fillId="6" borderId="4" xfId="0" applyFont="1" applyFill="1" applyBorder="1" applyAlignment="1">
      <alignment horizontal="center" vertical="center" wrapText="1"/>
    </xf>
    <xf numFmtId="0" fontId="5" fillId="0" borderId="9" xfId="0" applyFont="1" applyBorder="1" applyAlignment="1">
      <alignment vertical="center"/>
    </xf>
    <xf numFmtId="0" fontId="5" fillId="0" borderId="10" xfId="0" applyFont="1" applyBorder="1" applyAlignment="1">
      <alignment vertical="center"/>
    </xf>
    <xf numFmtId="0" fontId="5" fillId="0" borderId="0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38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2" fillId="6" borderId="1" xfId="0" applyFont="1" applyFill="1" applyBorder="1" applyAlignment="1">
      <alignment horizontal="center" vertical="center" wrapText="1"/>
    </xf>
    <xf numFmtId="0" fontId="3" fillId="0" borderId="24" xfId="0" applyFont="1" applyBorder="1" applyAlignment="1">
      <alignment vertical="center"/>
    </xf>
    <xf numFmtId="0" fontId="0" fillId="2" borderId="12" xfId="0" applyFill="1" applyBorder="1" applyAlignment="1">
      <alignment horizontal="left" vertical="center" wrapText="1" indent="1"/>
    </xf>
    <xf numFmtId="0" fontId="0" fillId="2" borderId="14" xfId="0" applyFill="1" applyBorder="1" applyAlignment="1">
      <alignment horizontal="left" vertical="center" wrapText="1" indent="1"/>
    </xf>
    <xf numFmtId="0" fontId="0" fillId="2" borderId="14" xfId="0" applyFont="1" applyFill="1" applyBorder="1" applyAlignment="1">
      <alignment horizontal="left" vertical="center" wrapText="1" indent="1"/>
    </xf>
    <xf numFmtId="0" fontId="0" fillId="2" borderId="18" xfId="0" applyFill="1" applyBorder="1" applyAlignment="1">
      <alignment horizontal="left" vertical="center" wrapText="1" indent="1"/>
    </xf>
    <xf numFmtId="0" fontId="0" fillId="2" borderId="23" xfId="0" applyFont="1" applyFill="1" applyBorder="1" applyAlignment="1">
      <alignment horizontal="left" vertical="center" wrapText="1" indent="1"/>
    </xf>
    <xf numFmtId="0" fontId="0" fillId="2" borderId="23" xfId="0" applyFill="1" applyBorder="1" applyAlignment="1">
      <alignment horizontal="left" vertical="center" wrapText="1" indent="1"/>
    </xf>
    <xf numFmtId="0" fontId="0" fillId="2" borderId="31" xfId="0" applyFill="1" applyBorder="1" applyAlignment="1">
      <alignment horizontal="left" vertical="center" wrapText="1" indent="1"/>
    </xf>
    <xf numFmtId="0" fontId="3" fillId="0" borderId="21" xfId="0" applyFont="1" applyBorder="1" applyAlignment="1">
      <alignment horizontal="left" indent="1"/>
    </xf>
    <xf numFmtId="0" fontId="0" fillId="2" borderId="29" xfId="0" applyFill="1" applyBorder="1" applyAlignment="1">
      <alignment horizontal="left" vertical="center" wrapText="1" indent="1"/>
    </xf>
    <xf numFmtId="172" fontId="3" fillId="0" borderId="18" xfId="0" applyNumberFormat="1" applyFont="1" applyBorder="1" applyAlignment="1">
      <alignment horizontal="left" indent="1"/>
    </xf>
    <xf numFmtId="0" fontId="0" fillId="2" borderId="15" xfId="0" applyFill="1" applyBorder="1" applyAlignment="1">
      <alignment horizontal="left" vertical="center" wrapText="1" indent="1"/>
    </xf>
    <xf numFmtId="172" fontId="3" fillId="0" borderId="21" xfId="0" applyNumberFormat="1" applyFont="1" applyBorder="1" applyAlignment="1">
      <alignment horizontal="left" indent="1"/>
    </xf>
    <xf numFmtId="0" fontId="0" fillId="2" borderId="16" xfId="0" applyFill="1" applyBorder="1" applyAlignment="1">
      <alignment horizontal="left" vertical="center" wrapText="1" indent="1"/>
    </xf>
    <xf numFmtId="0" fontId="0" fillId="2" borderId="34" xfId="0" applyFill="1" applyBorder="1" applyAlignment="1">
      <alignment horizontal="left" vertical="center" wrapText="1" indent="1"/>
    </xf>
    <xf numFmtId="0" fontId="0" fillId="2" borderId="21" xfId="0" applyFill="1" applyBorder="1" applyAlignment="1">
      <alignment horizontal="left" vertical="center" wrapText="1" indent="1"/>
    </xf>
    <xf numFmtId="0" fontId="0" fillId="2" borderId="7" xfId="0" applyFill="1" applyBorder="1" applyAlignment="1">
      <alignment horizontal="left" vertical="center" wrapText="1" indent="1"/>
    </xf>
    <xf numFmtId="0" fontId="0" fillId="0" borderId="14" xfId="0" applyBorder="1" applyAlignment="1">
      <alignment horizontal="left" vertical="center" wrapText="1" indent="1"/>
    </xf>
    <xf numFmtId="0" fontId="0" fillId="0" borderId="21" xfId="0" applyBorder="1" applyAlignment="1">
      <alignment horizontal="left" vertical="center" wrapText="1" indent="1"/>
    </xf>
    <xf numFmtId="0" fontId="3" fillId="0" borderId="18" xfId="0" applyFont="1" applyBorder="1" applyAlignment="1">
      <alignment horizontal="left" indent="1"/>
    </xf>
    <xf numFmtId="0" fontId="0" fillId="2" borderId="12" xfId="0" applyFont="1" applyFill="1" applyBorder="1" applyAlignment="1">
      <alignment horizontal="left" vertical="center" wrapText="1" indent="1"/>
    </xf>
    <xf numFmtId="0" fontId="0" fillId="2" borderId="4" xfId="0" applyFill="1" applyBorder="1" applyAlignment="1">
      <alignment horizontal="left" vertical="center" wrapText="1" indent="1"/>
    </xf>
    <xf numFmtId="0" fontId="0" fillId="2" borderId="21" xfId="0" applyFont="1" applyFill="1" applyBorder="1" applyAlignment="1">
      <alignment horizontal="left" vertical="center" wrapText="1" indent="1"/>
    </xf>
    <xf numFmtId="0" fontId="0" fillId="0" borderId="18" xfId="0" applyBorder="1" applyAlignment="1">
      <alignment horizontal="left" vertical="center" wrapText="1" indent="1"/>
    </xf>
    <xf numFmtId="0" fontId="0" fillId="0" borderId="12" xfId="0" applyBorder="1" applyAlignment="1">
      <alignment horizontal="left" vertical="center" wrapText="1" indent="1"/>
    </xf>
    <xf numFmtId="0" fontId="7" fillId="0" borderId="4" xfId="0" applyFont="1" applyBorder="1" applyAlignment="1">
      <alignment horizontal="left" vertical="center" indent="1"/>
    </xf>
    <xf numFmtId="0" fontId="0" fillId="0" borderId="23" xfId="0" applyFont="1" applyBorder="1" applyAlignment="1">
      <alignment horizontal="left" indent="1"/>
    </xf>
    <xf numFmtId="0" fontId="0" fillId="0" borderId="14" xfId="0" applyFont="1" applyBorder="1" applyAlignment="1">
      <alignment horizontal="left" indent="1"/>
    </xf>
    <xf numFmtId="0" fontId="0" fillId="0" borderId="12" xfId="0" applyFont="1" applyBorder="1" applyAlignment="1">
      <alignment horizontal="left" indent="1"/>
    </xf>
    <xf numFmtId="0" fontId="6" fillId="0" borderId="18" xfId="0" applyFont="1" applyBorder="1" applyAlignment="1">
      <alignment horizontal="left" indent="1"/>
    </xf>
    <xf numFmtId="172" fontId="9" fillId="0" borderId="23" xfId="0" applyNumberFormat="1" applyFont="1" applyBorder="1" applyAlignment="1">
      <alignment horizontal="left" indent="1"/>
    </xf>
    <xf numFmtId="0" fontId="9" fillId="2" borderId="14" xfId="0" applyFont="1" applyFill="1" applyBorder="1" applyAlignment="1">
      <alignment horizontal="left" indent="1"/>
    </xf>
    <xf numFmtId="172" fontId="9" fillId="2" borderId="23" xfId="0" applyNumberFormat="1" applyFont="1" applyFill="1" applyBorder="1" applyAlignment="1">
      <alignment horizontal="left" indent="1"/>
    </xf>
    <xf numFmtId="172" fontId="9" fillId="0" borderId="14" xfId="0" applyNumberFormat="1" applyFont="1" applyBorder="1" applyAlignment="1">
      <alignment horizontal="left" indent="1"/>
    </xf>
    <xf numFmtId="0" fontId="9" fillId="2" borderId="21" xfId="0" applyFont="1" applyFill="1" applyBorder="1" applyAlignment="1">
      <alignment horizontal="left" indent="1"/>
    </xf>
    <xf numFmtId="0" fontId="3" fillId="0" borderId="22" xfId="0" applyFont="1" applyFill="1" applyBorder="1" applyAlignment="1">
      <alignment horizontal="left" indent="1"/>
    </xf>
    <xf numFmtId="0" fontId="9" fillId="2" borderId="23" xfId="0" applyFont="1" applyFill="1" applyBorder="1" applyAlignment="1">
      <alignment horizontal="left" indent="1"/>
    </xf>
    <xf numFmtId="0" fontId="9" fillId="0" borderId="14" xfId="0" applyFont="1" applyBorder="1" applyAlignment="1">
      <alignment horizontal="left" indent="1"/>
    </xf>
    <xf numFmtId="172" fontId="9" fillId="2" borderId="14" xfId="0" applyNumberFormat="1" applyFont="1" applyFill="1" applyBorder="1" applyAlignment="1">
      <alignment horizontal="left" indent="1"/>
    </xf>
    <xf numFmtId="0" fontId="0" fillId="2" borderId="25" xfId="0" applyFill="1" applyBorder="1" applyAlignment="1">
      <alignment horizontal="left" vertical="center" wrapText="1" indent="1"/>
    </xf>
    <xf numFmtId="0" fontId="0" fillId="2" borderId="28" xfId="0" applyFill="1" applyBorder="1" applyAlignment="1">
      <alignment horizontal="left" vertical="center" wrapText="1" indent="1"/>
    </xf>
    <xf numFmtId="0" fontId="0" fillId="0" borderId="28" xfId="0" applyBorder="1" applyAlignment="1">
      <alignment horizontal="left" indent="1"/>
    </xf>
    <xf numFmtId="0" fontId="0" fillId="0" borderId="28" xfId="0" applyBorder="1" applyAlignment="1">
      <alignment horizontal="left" vertical="center" wrapText="1" indent="1"/>
    </xf>
    <xf numFmtId="0" fontId="9" fillId="0" borderId="28" xfId="0" applyFont="1" applyBorder="1" applyAlignment="1">
      <alignment horizontal="left" indent="1"/>
    </xf>
    <xf numFmtId="172" fontId="9" fillId="0" borderId="28" xfId="0" applyNumberFormat="1" applyFont="1" applyBorder="1" applyAlignment="1">
      <alignment horizontal="left" indent="1"/>
    </xf>
    <xf numFmtId="0" fontId="9" fillId="0" borderId="28" xfId="0" applyFont="1" applyFill="1" applyBorder="1" applyAlignment="1">
      <alignment horizontal="left" indent="1"/>
    </xf>
    <xf numFmtId="0" fontId="0" fillId="0" borderId="29" xfId="0" applyBorder="1"/>
    <xf numFmtId="0" fontId="0" fillId="0" borderId="4" xfId="0" applyBorder="1"/>
    <xf numFmtId="0" fontId="0" fillId="0" borderId="26" xfId="0" applyBorder="1" applyAlignment="1">
      <alignment wrapText="1"/>
    </xf>
    <xf numFmtId="0" fontId="0" fillId="0" borderId="29" xfId="0" applyBorder="1" applyAlignment="1">
      <alignment wrapText="1"/>
    </xf>
    <xf numFmtId="0" fontId="0" fillId="4" borderId="4" xfId="0" applyFill="1" applyBorder="1" applyAlignment="1">
      <alignment vertical="center"/>
    </xf>
    <xf numFmtId="0" fontId="0" fillId="4" borderId="4" xfId="0" applyFill="1" applyBorder="1" applyAlignment="1">
      <alignment vertical="center" wrapText="1"/>
    </xf>
    <xf numFmtId="0" fontId="0" fillId="4" borderId="4" xfId="0" applyFill="1" applyBorder="1" applyAlignment="1">
      <alignment horizontal="left" vertical="center" wrapText="1" indent="1"/>
    </xf>
    <xf numFmtId="168" fontId="9" fillId="7" borderId="0" xfId="0" applyNumberFormat="1" applyFont="1" applyFill="1" applyBorder="1" applyAlignment="1">
      <alignment horizontal="left"/>
    </xf>
    <xf numFmtId="0" fontId="0" fillId="0" borderId="26" xfId="0" applyBorder="1" applyAlignment="1">
      <alignment horizontal="left" vertical="center" wrapText="1"/>
    </xf>
    <xf numFmtId="0" fontId="0" fillId="0" borderId="29" xfId="0" applyBorder="1" applyAlignment="1">
      <alignment horizontal="left" vertical="center" wrapText="1"/>
    </xf>
    <xf numFmtId="14" fontId="0" fillId="0" borderId="26" xfId="0" applyNumberFormat="1" applyBorder="1" applyAlignment="1">
      <alignment horizontal="left" vertical="center" wrapText="1"/>
    </xf>
    <xf numFmtId="2" fontId="0" fillId="0" borderId="26" xfId="0" applyNumberFormat="1" applyBorder="1" applyAlignment="1">
      <alignment horizontal="left" vertical="center" wrapText="1"/>
    </xf>
    <xf numFmtId="0" fontId="0" fillId="4" borderId="3" xfId="0" applyFill="1" applyBorder="1" applyAlignment="1">
      <alignment vertical="center" wrapText="1"/>
    </xf>
    <xf numFmtId="0" fontId="0" fillId="4" borderId="1" xfId="0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/>
    </xf>
    <xf numFmtId="0" fontId="0" fillId="0" borderId="29" xfId="0" applyBorder="1" applyAlignment="1">
      <alignment horizontal="left"/>
    </xf>
    <xf numFmtId="0" fontId="0" fillId="0" borderId="0" xfId="0" applyAlignment="1">
      <alignment horizontal="left"/>
    </xf>
    <xf numFmtId="0" fontId="0" fillId="4" borderId="4" xfId="0" applyFill="1" applyBorder="1" applyAlignment="1">
      <alignment horizontal="center" vertical="center" wrapText="1"/>
    </xf>
    <xf numFmtId="0" fontId="0" fillId="0" borderId="40" xfId="0" applyBorder="1"/>
    <xf numFmtId="2" fontId="0" fillId="0" borderId="0" xfId="0" applyNumberFormat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0" fillId="5" borderId="0" xfId="0" applyFill="1" applyBorder="1" applyAlignment="1">
      <alignment horizontal="left" vertical="center" wrapText="1" indent="1"/>
    </xf>
    <xf numFmtId="0" fontId="0" fillId="5" borderId="0" xfId="0" applyFill="1" applyBorder="1" applyAlignment="1">
      <alignment vertical="center" wrapText="1"/>
    </xf>
    <xf numFmtId="0" fontId="2" fillId="0" borderId="40" xfId="0" applyFont="1" applyBorder="1"/>
    <xf numFmtId="0" fontId="12" fillId="8" borderId="29" xfId="0" applyFont="1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0" fillId="4" borderId="41" xfId="0" applyFill="1" applyBorder="1"/>
    <xf numFmtId="0" fontId="12" fillId="8" borderId="40" xfId="0" applyFont="1" applyFill="1" applyBorder="1" applyAlignment="1">
      <alignment horizontal="center" vertical="center"/>
    </xf>
    <xf numFmtId="0" fontId="0" fillId="7" borderId="29" xfId="0" applyFill="1" applyBorder="1" applyAlignment="1">
      <alignment horizontal="center" vertical="center"/>
    </xf>
    <xf numFmtId="0" fontId="0" fillId="7" borderId="0" xfId="0" applyFill="1" applyBorder="1" applyAlignment="1">
      <alignment wrapText="1"/>
    </xf>
    <xf numFmtId="0" fontId="0" fillId="7" borderId="6" xfId="0" applyFill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7" xfId="0" applyFont="1" applyBorder="1" applyAlignment="1">
      <alignment vertical="center" wrapText="1" shrinkToFit="1"/>
    </xf>
    <xf numFmtId="0" fontId="8" fillId="0" borderId="7" xfId="0" applyFont="1" applyBorder="1" applyAlignment="1">
      <alignment vertical="center"/>
    </xf>
    <xf numFmtId="0" fontId="8" fillId="0" borderId="24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5" fillId="0" borderId="22" xfId="0" applyFont="1" applyBorder="1" applyAlignment="1">
      <alignment vertical="center"/>
    </xf>
    <xf numFmtId="0" fontId="5" fillId="0" borderId="24" xfId="0" applyFont="1" applyBorder="1" applyAlignment="1">
      <alignment vertical="center"/>
    </xf>
    <xf numFmtId="3" fontId="0" fillId="0" borderId="0" xfId="0" applyNumberFormat="1" applyFill="1" applyBorder="1" applyAlignment="1">
      <alignment horizontal="center"/>
    </xf>
    <xf numFmtId="0" fontId="3" fillId="0" borderId="8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9" xfId="0" applyFont="1" applyBorder="1" applyAlignment="1">
      <alignment vertical="center"/>
    </xf>
    <xf numFmtId="0" fontId="0" fillId="0" borderId="43" xfId="0" applyBorder="1" applyAlignment="1">
      <alignment horizontal="left" indent="1"/>
    </xf>
    <xf numFmtId="2" fontId="0" fillId="0" borderId="40" xfId="0" applyNumberFormat="1" applyBorder="1" applyAlignment="1">
      <alignment horizontal="center"/>
    </xf>
    <xf numFmtId="171" fontId="0" fillId="0" borderId="40" xfId="0" applyNumberFormat="1" applyBorder="1" applyAlignment="1">
      <alignment horizontal="center"/>
    </xf>
    <xf numFmtId="0" fontId="0" fillId="5" borderId="29" xfId="0" applyFill="1" applyBorder="1" applyAlignment="1">
      <alignment horizontal="center" vertical="center" wrapText="1"/>
    </xf>
    <xf numFmtId="2" fontId="3" fillId="5" borderId="29" xfId="0" applyNumberFormat="1" applyFont="1" applyFill="1" applyBorder="1" applyAlignment="1">
      <alignment horizontal="center"/>
    </xf>
    <xf numFmtId="171" fontId="3" fillId="5" borderId="29" xfId="0" applyNumberFormat="1" applyFont="1" applyFill="1" applyBorder="1" applyAlignment="1">
      <alignment horizontal="center"/>
    </xf>
    <xf numFmtId="0" fontId="0" fillId="5" borderId="29" xfId="0" applyFill="1" applyBorder="1" applyAlignment="1">
      <alignment horizontal="center"/>
    </xf>
    <xf numFmtId="0" fontId="9" fillId="5" borderId="29" xfId="0" applyFont="1" applyFill="1" applyBorder="1" applyAlignment="1">
      <alignment horizontal="center"/>
    </xf>
    <xf numFmtId="172" fontId="9" fillId="5" borderId="29" xfId="0" applyNumberFormat="1" applyFont="1" applyFill="1" applyBorder="1" applyAlignment="1">
      <alignment horizontal="center"/>
    </xf>
    <xf numFmtId="0" fontId="0" fillId="5" borderId="29" xfId="0" applyFill="1" applyBorder="1"/>
    <xf numFmtId="2" fontId="0" fillId="5" borderId="29" xfId="0" applyNumberFormat="1" applyFill="1" applyBorder="1" applyAlignment="1">
      <alignment horizontal="center"/>
    </xf>
    <xf numFmtId="171" fontId="0" fillId="5" borderId="29" xfId="0" applyNumberFormat="1" applyFill="1" applyBorder="1" applyAlignment="1">
      <alignment horizontal="center"/>
    </xf>
    <xf numFmtId="0" fontId="6" fillId="5" borderId="29" xfId="0" applyFont="1" applyFill="1" applyBorder="1" applyAlignment="1"/>
    <xf numFmtId="0" fontId="0" fillId="5" borderId="29" xfId="0" applyFill="1" applyBorder="1" applyAlignment="1">
      <alignment vertical="center"/>
    </xf>
    <xf numFmtId="169" fontId="0" fillId="5" borderId="29" xfId="0" applyNumberFormat="1" applyFill="1" applyBorder="1" applyAlignment="1">
      <alignment vertical="center"/>
    </xf>
    <xf numFmtId="0" fontId="0" fillId="4" borderId="7" xfId="0" applyFill="1" applyBorder="1" applyAlignment="1">
      <alignment vertical="center" wrapText="1"/>
    </xf>
    <xf numFmtId="14" fontId="0" fillId="0" borderId="29" xfId="0" applyNumberFormat="1" applyBorder="1" applyAlignment="1">
      <alignment horizontal="left" vertical="center" wrapText="1"/>
    </xf>
    <xf numFmtId="0" fontId="6" fillId="7" borderId="0" xfId="0" applyFont="1" applyFill="1" applyBorder="1" applyAlignment="1">
      <alignment horizontal="center"/>
    </xf>
    <xf numFmtId="0" fontId="6" fillId="5" borderId="0" xfId="0" applyFont="1" applyFill="1" applyBorder="1" applyAlignment="1">
      <alignment horizontal="center"/>
    </xf>
    <xf numFmtId="0" fontId="0" fillId="5" borderId="0" xfId="0" applyFill="1" applyBorder="1" applyAlignment="1">
      <alignment horizontal="center" vertical="center" wrapText="1"/>
    </xf>
    <xf numFmtId="0" fontId="2" fillId="3" borderId="1" xfId="0" applyFont="1" applyFill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0" fontId="10" fillId="6" borderId="19" xfId="0" applyFont="1" applyFill="1" applyBorder="1" applyAlignment="1">
      <alignment vertical="center" wrapText="1"/>
    </xf>
    <xf numFmtId="3" fontId="0" fillId="0" borderId="45" xfId="0" applyNumberFormat="1" applyBorder="1" applyAlignment="1">
      <alignment horizontal="center"/>
    </xf>
    <xf numFmtId="3" fontId="0" fillId="0" borderId="46" xfId="0" applyNumberFormat="1" applyBorder="1" applyAlignment="1">
      <alignment horizontal="center"/>
    </xf>
    <xf numFmtId="3" fontId="6" fillId="0" borderId="47" xfId="0" applyNumberFormat="1" applyFont="1" applyBorder="1" applyAlignment="1">
      <alignment horizontal="center"/>
    </xf>
    <xf numFmtId="3" fontId="0" fillId="5" borderId="46" xfId="0" applyNumberFormat="1" applyFill="1" applyBorder="1" applyAlignment="1">
      <alignment horizontal="center"/>
    </xf>
    <xf numFmtId="3" fontId="6" fillId="5" borderId="46" xfId="0" applyNumberFormat="1" applyFont="1" applyFill="1" applyBorder="1" applyAlignment="1">
      <alignment horizontal="center"/>
    </xf>
    <xf numFmtId="0" fontId="0" fillId="0" borderId="46" xfId="0" applyBorder="1"/>
    <xf numFmtId="0" fontId="6" fillId="5" borderId="46" xfId="0" applyFont="1" applyFill="1" applyBorder="1" applyAlignment="1"/>
    <xf numFmtId="0" fontId="0" fillId="5" borderId="46" xfId="0" applyFill="1" applyBorder="1" applyAlignment="1">
      <alignment vertical="center" wrapText="1"/>
    </xf>
    <xf numFmtId="0" fontId="0" fillId="5" borderId="40" xfId="0" applyFill="1" applyBorder="1" applyAlignment="1">
      <alignment vertical="center"/>
    </xf>
    <xf numFmtId="169" fontId="0" fillId="5" borderId="40" xfId="0" applyNumberFormat="1" applyFill="1" applyBorder="1" applyAlignment="1">
      <alignment vertical="center"/>
    </xf>
    <xf numFmtId="0" fontId="0" fillId="5" borderId="47" xfId="0" applyFill="1" applyBorder="1" applyAlignment="1">
      <alignment vertical="center" wrapText="1"/>
    </xf>
    <xf numFmtId="0" fontId="0" fillId="0" borderId="48" xfId="0" applyBorder="1" applyAlignment="1">
      <alignment horizontal="left" indent="1"/>
    </xf>
    <xf numFmtId="2" fontId="0" fillId="0" borderId="49" xfId="0" applyNumberFormat="1" applyBorder="1" applyAlignment="1">
      <alignment horizontal="center"/>
    </xf>
    <xf numFmtId="171" fontId="0" fillId="0" borderId="49" xfId="0" applyNumberFormat="1" applyBorder="1" applyAlignment="1">
      <alignment horizontal="center"/>
    </xf>
    <xf numFmtId="0" fontId="0" fillId="0" borderId="49" xfId="0" applyBorder="1"/>
    <xf numFmtId="4" fontId="0" fillId="0" borderId="49" xfId="0" applyNumberFormat="1" applyBorder="1" applyAlignment="1">
      <alignment horizontal="center" vertical="center"/>
    </xf>
    <xf numFmtId="3" fontId="6" fillId="0" borderId="50" xfId="0" applyNumberFormat="1" applyFon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3" fontId="0" fillId="0" borderId="8" xfId="0" applyNumberFormat="1" applyBorder="1" applyAlignment="1">
      <alignment horizontal="center"/>
    </xf>
    <xf numFmtId="3" fontId="7" fillId="0" borderId="1" xfId="0" applyNumberFormat="1" applyFont="1" applyBorder="1" applyAlignment="1">
      <alignment horizontal="center"/>
    </xf>
    <xf numFmtId="3" fontId="7" fillId="0" borderId="29" xfId="0" applyNumberFormat="1" applyFont="1" applyBorder="1" applyAlignment="1">
      <alignment horizontal="center"/>
    </xf>
    <xf numFmtId="3" fontId="0" fillId="0" borderId="19" xfId="0" applyNumberFormat="1" applyBorder="1" applyAlignment="1">
      <alignment horizontal="center"/>
    </xf>
    <xf numFmtId="169" fontId="10" fillId="6" borderId="24" xfId="0" applyNumberFormat="1" applyFont="1" applyFill="1" applyBorder="1" applyAlignment="1">
      <alignment horizontal="center" vertical="center" wrapText="1"/>
    </xf>
    <xf numFmtId="0" fontId="10" fillId="4" borderId="42" xfId="0" applyFont="1" applyFill="1" applyBorder="1" applyAlignment="1">
      <alignment horizontal="left" vertical="center" wrapText="1" indent="2"/>
    </xf>
    <xf numFmtId="169" fontId="0" fillId="0" borderId="39" xfId="0" applyNumberFormat="1" applyBorder="1"/>
    <xf numFmtId="0" fontId="0" fillId="0" borderId="52" xfId="0" applyBorder="1"/>
    <xf numFmtId="169" fontId="0" fillId="0" borderId="51" xfId="0" applyNumberFormat="1" applyBorder="1"/>
    <xf numFmtId="173" fontId="0" fillId="3" borderId="13" xfId="0" applyNumberFormat="1" applyFill="1" applyBorder="1" applyAlignment="1">
      <alignment horizontal="right" indent="1"/>
    </xf>
    <xf numFmtId="173" fontId="0" fillId="3" borderId="46" xfId="0" applyNumberFormat="1" applyFill="1" applyBorder="1" applyAlignment="1">
      <alignment horizontal="center"/>
    </xf>
    <xf numFmtId="169" fontId="0" fillId="3" borderId="27" xfId="0" applyNumberFormat="1" applyFill="1" applyBorder="1"/>
    <xf numFmtId="169" fontId="0" fillId="3" borderId="30" xfId="0" applyNumberFormat="1" applyFill="1" applyBorder="1"/>
    <xf numFmtId="173" fontId="0" fillId="3" borderId="13" xfId="0" applyNumberFormat="1" applyFill="1" applyBorder="1" applyAlignment="1">
      <alignment horizontal="center"/>
    </xf>
    <xf numFmtId="173" fontId="6" fillId="3" borderId="17" xfId="0" applyNumberFormat="1" applyFont="1" applyFill="1" applyBorder="1" applyAlignment="1">
      <alignment horizontal="center"/>
    </xf>
    <xf numFmtId="173" fontId="6" fillId="3" borderId="47" xfId="0" applyNumberFormat="1" applyFont="1" applyFill="1" applyBorder="1" applyAlignment="1">
      <alignment horizontal="center"/>
    </xf>
    <xf numFmtId="3" fontId="0" fillId="3" borderId="13" xfId="0" applyNumberFormat="1" applyFill="1" applyBorder="1" applyAlignment="1">
      <alignment horizontal="center"/>
    </xf>
    <xf numFmtId="3" fontId="0" fillId="3" borderId="46" xfId="0" applyNumberFormat="1" applyFill="1" applyBorder="1" applyAlignment="1">
      <alignment horizontal="center"/>
    </xf>
    <xf numFmtId="0" fontId="0" fillId="3" borderId="30" xfId="0" applyFill="1" applyBorder="1"/>
    <xf numFmtId="3" fontId="6" fillId="3" borderId="13" xfId="0" applyNumberFormat="1" applyFont="1" applyFill="1" applyBorder="1" applyAlignment="1">
      <alignment horizontal="center"/>
    </xf>
    <xf numFmtId="3" fontId="6" fillId="3" borderId="46" xfId="0" applyNumberFormat="1" applyFont="1" applyFill="1" applyBorder="1" applyAlignment="1">
      <alignment horizontal="center"/>
    </xf>
    <xf numFmtId="0" fontId="0" fillId="3" borderId="13" xfId="0" applyFill="1" applyBorder="1"/>
    <xf numFmtId="0" fontId="0" fillId="3" borderId="46" xfId="0" applyFill="1" applyBorder="1"/>
    <xf numFmtId="0" fontId="6" fillId="3" borderId="13" xfId="0" applyFont="1" applyFill="1" applyBorder="1" applyAlignment="1"/>
    <xf numFmtId="0" fontId="6" fillId="3" borderId="46" xfId="0" applyFont="1" applyFill="1" applyBorder="1" applyAlignment="1"/>
    <xf numFmtId="0" fontId="0" fillId="3" borderId="13" xfId="0" applyFill="1" applyBorder="1" applyAlignment="1">
      <alignment vertical="center" wrapText="1"/>
    </xf>
    <xf numFmtId="0" fontId="0" fillId="3" borderId="46" xfId="0" applyFill="1" applyBorder="1" applyAlignment="1">
      <alignment vertical="center" wrapText="1"/>
    </xf>
    <xf numFmtId="0" fontId="0" fillId="3" borderId="17" xfId="0" applyFill="1" applyBorder="1" applyAlignment="1">
      <alignment vertical="center" wrapText="1"/>
    </xf>
    <xf numFmtId="0" fontId="0" fillId="3" borderId="47" xfId="0" applyFill="1" applyBorder="1" applyAlignment="1">
      <alignment vertical="center" wrapText="1"/>
    </xf>
    <xf numFmtId="0" fontId="0" fillId="3" borderId="44" xfId="0" applyFill="1" applyBorder="1"/>
    <xf numFmtId="169" fontId="0" fillId="3" borderId="12" xfId="0" applyNumberFormat="1" applyFill="1" applyBorder="1"/>
    <xf numFmtId="169" fontId="0" fillId="3" borderId="14" xfId="0" applyNumberFormat="1" applyFill="1" applyBorder="1"/>
    <xf numFmtId="0" fontId="0" fillId="3" borderId="14" xfId="0" applyFill="1" applyBorder="1"/>
    <xf numFmtId="0" fontId="0" fillId="3" borderId="18" xfId="0" applyFill="1" applyBorder="1"/>
    <xf numFmtId="0" fontId="0" fillId="3" borderId="53" xfId="0" applyFill="1" applyBorder="1"/>
    <xf numFmtId="0" fontId="0" fillId="3" borderId="33" xfId="0" applyFill="1" applyBorder="1"/>
    <xf numFmtId="4" fontId="0" fillId="3" borderId="32" xfId="0" applyNumberFormat="1" applyFill="1" applyBorder="1"/>
    <xf numFmtId="2" fontId="0" fillId="3" borderId="53" xfId="0" applyNumberFormat="1" applyFill="1" applyBorder="1"/>
    <xf numFmtId="173" fontId="0" fillId="0" borderId="29" xfId="0" applyNumberFormat="1" applyBorder="1"/>
    <xf numFmtId="0" fontId="10" fillId="6" borderId="24" xfId="0" applyFont="1" applyFill="1" applyBorder="1" applyAlignment="1">
      <alignment horizontal="left" vertical="center" wrapText="1" indent="1"/>
    </xf>
    <xf numFmtId="0" fontId="14" fillId="6" borderId="37" xfId="0" applyFont="1" applyFill="1" applyBorder="1" applyAlignment="1">
      <alignment horizontal="left" vertical="center" wrapText="1" indent="1"/>
    </xf>
    <xf numFmtId="0" fontId="14" fillId="6" borderId="24" xfId="0" applyFont="1" applyFill="1" applyBorder="1" applyAlignment="1">
      <alignment horizontal="left" vertical="center" wrapText="1" indent="1"/>
    </xf>
    <xf numFmtId="0" fontId="10" fillId="6" borderId="19" xfId="0" applyFont="1" applyFill="1" applyBorder="1" applyAlignment="1">
      <alignment horizontal="center" vertical="center" wrapText="1"/>
    </xf>
    <xf numFmtId="0" fontId="0" fillId="5" borderId="4" xfId="0" applyFill="1" applyBorder="1"/>
    <xf numFmtId="0" fontId="1" fillId="0" borderId="4" xfId="0" applyNumberFormat="1" applyFont="1" applyBorder="1" applyAlignment="1">
      <alignment horizontal="right"/>
    </xf>
    <xf numFmtId="165" fontId="0" fillId="0" borderId="26" xfId="0" applyNumberFormat="1" applyBorder="1" applyAlignment="1">
      <alignment horizontal="center"/>
    </xf>
    <xf numFmtId="165" fontId="0" fillId="0" borderId="29" xfId="0" applyNumberFormat="1" applyBorder="1" applyAlignment="1">
      <alignment horizontal="center"/>
    </xf>
    <xf numFmtId="165" fontId="0" fillId="0" borderId="29" xfId="0" applyNumberFormat="1" applyBorder="1"/>
    <xf numFmtId="165" fontId="0" fillId="0" borderId="40" xfId="0" applyNumberFormat="1" applyBorder="1"/>
    <xf numFmtId="165" fontId="6" fillId="0" borderId="50" xfId="0" applyNumberFormat="1" applyFont="1" applyBorder="1" applyAlignment="1">
      <alignment horizontal="center"/>
    </xf>
    <xf numFmtId="164" fontId="0" fillId="0" borderId="45" xfId="0" applyNumberFormat="1" applyBorder="1" applyAlignment="1">
      <alignment horizontal="center" vertical="center"/>
    </xf>
    <xf numFmtId="164" fontId="0" fillId="0" borderId="46" xfId="0" applyNumberFormat="1" applyBorder="1" applyAlignment="1">
      <alignment horizontal="center" vertical="center"/>
    </xf>
    <xf numFmtId="164" fontId="6" fillId="0" borderId="47" xfId="0" applyNumberFormat="1" applyFont="1" applyBorder="1" applyAlignment="1">
      <alignment horizontal="center" vertical="center"/>
    </xf>
    <xf numFmtId="0" fontId="0" fillId="6" borderId="4" xfId="0" applyFill="1" applyBorder="1" applyAlignment="1">
      <alignment vertical="center" wrapText="1"/>
    </xf>
    <xf numFmtId="165" fontId="0" fillId="0" borderId="0" xfId="0" applyNumberFormat="1"/>
    <xf numFmtId="165" fontId="0" fillId="0" borderId="0" xfId="0" applyNumberFormat="1" applyBorder="1" applyAlignment="1">
      <alignment horizontal="left" vertical="center" wrapText="1"/>
    </xf>
    <xf numFmtId="166" fontId="0" fillId="0" borderId="26" xfId="0" applyNumberFormat="1" applyBorder="1" applyAlignment="1">
      <alignment horizontal="left" vertical="center" wrapText="1"/>
    </xf>
    <xf numFmtId="166" fontId="0" fillId="0" borderId="29" xfId="0" applyNumberFormat="1" applyBorder="1"/>
    <xf numFmtId="166" fontId="0" fillId="0" borderId="40" xfId="0" applyNumberFormat="1" applyBorder="1"/>
    <xf numFmtId="166" fontId="0" fillId="0" borderId="0" xfId="0" applyNumberFormat="1" applyBorder="1"/>
    <xf numFmtId="166" fontId="0" fillId="0" borderId="0" xfId="0" applyNumberFormat="1"/>
    <xf numFmtId="166" fontId="0" fillId="0" borderId="0" xfId="0" applyNumberFormat="1" applyBorder="1" applyAlignment="1">
      <alignment horizontal="left" vertical="center" wrapText="1"/>
    </xf>
    <xf numFmtId="166" fontId="1" fillId="0" borderId="4" xfId="0" applyNumberFormat="1" applyFont="1" applyBorder="1" applyAlignment="1">
      <alignment horizontal="right"/>
    </xf>
    <xf numFmtId="174" fontId="0" fillId="0" borderId="26" xfId="0" applyNumberFormat="1" applyBorder="1" applyAlignment="1">
      <alignment horizontal="left" vertical="center" wrapText="1"/>
    </xf>
    <xf numFmtId="174" fontId="1" fillId="0" borderId="4" xfId="0" applyNumberFormat="1" applyFont="1" applyBorder="1" applyAlignment="1">
      <alignment horizontal="right"/>
    </xf>
    <xf numFmtId="0" fontId="11" fillId="4" borderId="7" xfId="0" applyFont="1" applyFill="1" applyBorder="1" applyAlignment="1">
      <alignment horizontal="left" vertical="center" wrapText="1"/>
    </xf>
    <xf numFmtId="0" fontId="0" fillId="0" borderId="29" xfId="0" applyBorder="1" applyAlignment="1">
      <alignment horizontal="center" vertical="center"/>
    </xf>
    <xf numFmtId="0" fontId="0" fillId="7" borderId="9" xfId="0" applyFill="1" applyBorder="1" applyAlignment="1">
      <alignment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0" fontId="8" fillId="0" borderId="7" xfId="0" applyFont="1" applyBorder="1" applyAlignment="1">
      <alignment horizontal="left" vertical="center"/>
    </xf>
    <xf numFmtId="0" fontId="0" fillId="4" borderId="54" xfId="0" applyFill="1" applyBorder="1"/>
    <xf numFmtId="0" fontId="0" fillId="0" borderId="26" xfId="0" applyBorder="1"/>
    <xf numFmtId="0" fontId="0" fillId="4" borderId="48" xfId="0" applyFill="1" applyBorder="1" applyAlignment="1">
      <alignment horizontal="center" vertical="center"/>
    </xf>
    <xf numFmtId="0" fontId="0" fillId="2" borderId="36" xfId="0" applyFill="1" applyBorder="1" applyAlignment="1">
      <alignment horizontal="left" vertical="center" wrapText="1" indent="1"/>
    </xf>
    <xf numFmtId="0" fontId="0" fillId="2" borderId="13" xfId="0" applyFill="1" applyBorder="1" applyAlignment="1">
      <alignment horizontal="left" vertical="center" wrapText="1" indent="1"/>
    </xf>
    <xf numFmtId="0" fontId="0" fillId="0" borderId="13" xfId="0" applyBorder="1" applyAlignment="1">
      <alignment horizontal="left" indent="1"/>
    </xf>
    <xf numFmtId="0" fontId="0" fillId="0" borderId="13" xfId="0" applyBorder="1" applyAlignment="1">
      <alignment horizontal="left" vertical="center" wrapText="1" indent="1"/>
    </xf>
    <xf numFmtId="0" fontId="9" fillId="0" borderId="13" xfId="0" applyFont="1" applyBorder="1" applyAlignment="1">
      <alignment horizontal="left" indent="1"/>
    </xf>
    <xf numFmtId="172" fontId="9" fillId="0" borderId="13" xfId="0" applyNumberFormat="1" applyFont="1" applyBorder="1" applyAlignment="1">
      <alignment horizontal="left" indent="1"/>
    </xf>
    <xf numFmtId="0" fontId="9" fillId="0" borderId="13" xfId="0" applyFont="1" applyFill="1" applyBorder="1" applyAlignment="1">
      <alignment horizontal="left" indent="1"/>
    </xf>
    <xf numFmtId="0" fontId="0" fillId="0" borderId="20" xfId="0" applyBorder="1" applyAlignment="1">
      <alignment horizontal="left" indent="1"/>
    </xf>
    <xf numFmtId="0" fontId="0" fillId="0" borderId="28" xfId="0" applyBorder="1"/>
    <xf numFmtId="0" fontId="0" fillId="0" borderId="27" xfId="0" applyBorder="1"/>
    <xf numFmtId="0" fontId="0" fillId="0" borderId="30" xfId="0" applyBorder="1"/>
    <xf numFmtId="0" fontId="0" fillId="0" borderId="35" xfId="0" applyBorder="1"/>
    <xf numFmtId="0" fontId="0" fillId="0" borderId="55" xfId="0" applyBorder="1"/>
    <xf numFmtId="0" fontId="0" fillId="0" borderId="25" xfId="0" applyBorder="1"/>
    <xf numFmtId="0" fontId="0" fillId="7" borderId="0" xfId="0" applyFill="1" applyBorder="1" applyAlignment="1">
      <alignment horizontal="center" vertical="center"/>
    </xf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7" borderId="0" xfId="0" applyNumberFormat="1" applyFill="1" applyBorder="1" applyAlignment="1">
      <alignment horizontal="center" vertical="center"/>
    </xf>
    <xf numFmtId="0" fontId="3" fillId="7" borderId="0" xfId="0" applyNumberFormat="1" applyFont="1" applyFill="1" applyBorder="1" applyAlignment="1">
      <alignment horizontal="center" vertical="center"/>
    </xf>
    <xf numFmtId="0" fontId="0" fillId="7" borderId="38" xfId="0" applyFill="1" applyBorder="1" applyAlignment="1">
      <alignment horizontal="center" vertical="center" wrapText="1"/>
    </xf>
    <xf numFmtId="0" fontId="0" fillId="7" borderId="29" xfId="0" applyFill="1" applyBorder="1" applyAlignment="1">
      <alignment wrapText="1"/>
    </xf>
    <xf numFmtId="0" fontId="0" fillId="7" borderId="29" xfId="0" applyFill="1" applyBorder="1" applyAlignment="1">
      <alignment horizontal="left" vertical="center" wrapText="1"/>
    </xf>
    <xf numFmtId="0" fontId="0" fillId="7" borderId="38" xfId="0" applyFill="1" applyBorder="1" applyAlignment="1">
      <alignment horizontal="center" vertical="center"/>
    </xf>
    <xf numFmtId="14" fontId="0" fillId="0" borderId="29" xfId="0" applyNumberFormat="1" applyBorder="1"/>
    <xf numFmtId="0" fontId="0" fillId="4" borderId="19" xfId="0" applyFill="1" applyBorder="1" applyAlignment="1">
      <alignment horizontal="center" wrapText="1"/>
    </xf>
    <xf numFmtId="0" fontId="0" fillId="4" borderId="38" xfId="0" applyFill="1" applyBorder="1" applyAlignment="1">
      <alignment horizontal="center" wrapText="1"/>
    </xf>
    <xf numFmtId="0" fontId="0" fillId="4" borderId="37" xfId="0" applyFill="1" applyBorder="1" applyAlignment="1">
      <alignment horizontal="center" wrapText="1"/>
    </xf>
    <xf numFmtId="167" fontId="1" fillId="0" borderId="2" xfId="0" applyNumberFormat="1" applyFont="1" applyBorder="1" applyAlignment="1">
      <alignment horizontal="left" vertical="center"/>
    </xf>
    <xf numFmtId="167" fontId="1" fillId="0" borderId="3" xfId="0" applyNumberFormat="1" applyFont="1" applyBorder="1" applyAlignment="1">
      <alignment horizontal="left" vertical="center"/>
    </xf>
    <xf numFmtId="0" fontId="2" fillId="4" borderId="1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167" fontId="4" fillId="4" borderId="1" xfId="0" applyNumberFormat="1" applyFont="1" applyFill="1" applyBorder="1" applyAlignment="1">
      <alignment horizontal="center" vertical="center"/>
    </xf>
    <xf numFmtId="167" fontId="4" fillId="4" borderId="2" xfId="0" applyNumberFormat="1" applyFont="1" applyFill="1" applyBorder="1" applyAlignment="1">
      <alignment horizontal="center" vertical="center"/>
    </xf>
    <xf numFmtId="167" fontId="4" fillId="4" borderId="3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6" fillId="4" borderId="3" xfId="0" applyFont="1" applyFill="1" applyBorder="1" applyAlignment="1">
      <alignment horizontal="center"/>
    </xf>
    <xf numFmtId="0" fontId="3" fillId="0" borderId="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Alignment="1"/>
    <xf numFmtId="0" fontId="3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Border="1" applyAlignment="1"/>
    <xf numFmtId="0" fontId="3" fillId="0" borderId="0" xfId="0" applyFont="1" applyAlignment="1"/>
    <xf numFmtId="0" fontId="6" fillId="0" borderId="0" xfId="0" applyFont="1" applyBorder="1" applyAlignment="1">
      <alignment horizontal="left" vertical="center"/>
    </xf>
    <xf numFmtId="0" fontId="6" fillId="0" borderId="0" xfId="0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6" fillId="7" borderId="0" xfId="0" applyFont="1" applyFill="1" applyBorder="1" applyAlignment="1">
      <alignment horizontal="center"/>
    </xf>
    <xf numFmtId="0" fontId="6" fillId="5" borderId="0" xfId="0" applyFont="1" applyFill="1" applyBorder="1" applyAlignment="1">
      <alignment horizontal="center"/>
    </xf>
    <xf numFmtId="0" fontId="0" fillId="5" borderId="0" xfId="0" applyFill="1" applyBorder="1" applyAlignment="1">
      <alignment horizontal="center" vertical="center"/>
    </xf>
    <xf numFmtId="169" fontId="0" fillId="5" borderId="0" xfId="0" applyNumberFormat="1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342900</xdr:colOff>
      <xdr:row>26</xdr:row>
      <xdr:rowOff>0</xdr:rowOff>
    </xdr:from>
    <xdr:to>
      <xdr:col>45</xdr:col>
      <xdr:colOff>438150</xdr:colOff>
      <xdr:row>29</xdr:row>
      <xdr:rowOff>0</xdr:rowOff>
    </xdr:to>
    <xdr:sp macro="" textlink="">
      <xdr:nvSpPr>
        <xdr:cNvPr id="2" name="Line 2"/>
        <xdr:cNvSpPr>
          <a:spLocks noChangeShapeType="1"/>
        </xdr:cNvSpPr>
      </xdr:nvSpPr>
      <xdr:spPr bwMode="auto">
        <a:xfrm flipV="1">
          <a:off x="762000" y="3914775"/>
          <a:ext cx="46672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342900</xdr:colOff>
      <xdr:row>29</xdr:row>
      <xdr:rowOff>0</xdr:rowOff>
    </xdr:from>
    <xdr:to>
      <xdr:col>45</xdr:col>
      <xdr:colOff>438150</xdr:colOff>
      <xdr:row>31</xdr:row>
      <xdr:rowOff>142875</xdr:rowOff>
    </xdr:to>
    <xdr:sp macro="" textlink="">
      <xdr:nvSpPr>
        <xdr:cNvPr id="3" name="Line 4"/>
        <xdr:cNvSpPr>
          <a:spLocks noChangeShapeType="1"/>
        </xdr:cNvSpPr>
      </xdr:nvSpPr>
      <xdr:spPr bwMode="auto">
        <a:xfrm flipV="1">
          <a:off x="762000" y="4371975"/>
          <a:ext cx="466725" cy="447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9525</xdr:colOff>
      <xdr:row>34</xdr:row>
      <xdr:rowOff>19050</xdr:rowOff>
    </xdr:from>
    <xdr:to>
      <xdr:col>45</xdr:col>
      <xdr:colOff>438150</xdr:colOff>
      <xdr:row>35</xdr:row>
      <xdr:rowOff>152400</xdr:rowOff>
    </xdr:to>
    <xdr:sp macro="" textlink="">
      <xdr:nvSpPr>
        <xdr:cNvPr id="4" name="Line 4"/>
        <xdr:cNvSpPr>
          <a:spLocks noChangeShapeType="1"/>
        </xdr:cNvSpPr>
      </xdr:nvSpPr>
      <xdr:spPr bwMode="auto">
        <a:xfrm flipV="1">
          <a:off x="771525" y="5200650"/>
          <a:ext cx="457200" cy="285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352425</xdr:colOff>
      <xdr:row>36</xdr:row>
      <xdr:rowOff>0</xdr:rowOff>
    </xdr:from>
    <xdr:to>
      <xdr:col>45</xdr:col>
      <xdr:colOff>428625</xdr:colOff>
      <xdr:row>38</xdr:row>
      <xdr:rowOff>9525</xdr:rowOff>
    </xdr:to>
    <xdr:sp macro="" textlink="">
      <xdr:nvSpPr>
        <xdr:cNvPr id="5" name="Line 4"/>
        <xdr:cNvSpPr>
          <a:spLocks noChangeShapeType="1"/>
        </xdr:cNvSpPr>
      </xdr:nvSpPr>
      <xdr:spPr bwMode="auto">
        <a:xfrm flipV="1">
          <a:off x="762000" y="5486400"/>
          <a:ext cx="466725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9525</xdr:colOff>
      <xdr:row>41</xdr:row>
      <xdr:rowOff>152400</xdr:rowOff>
    </xdr:from>
    <xdr:to>
      <xdr:col>45</xdr:col>
      <xdr:colOff>428625</xdr:colOff>
      <xdr:row>44</xdr:row>
      <xdr:rowOff>152400</xdr:rowOff>
    </xdr:to>
    <xdr:sp macro="" textlink="">
      <xdr:nvSpPr>
        <xdr:cNvPr id="6" name="Line 4"/>
        <xdr:cNvSpPr>
          <a:spLocks noChangeShapeType="1"/>
        </xdr:cNvSpPr>
      </xdr:nvSpPr>
      <xdr:spPr bwMode="auto">
        <a:xfrm flipV="1">
          <a:off x="771525" y="6400800"/>
          <a:ext cx="457200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0</xdr:colOff>
      <xdr:row>45</xdr:row>
      <xdr:rowOff>0</xdr:rowOff>
    </xdr:from>
    <xdr:to>
      <xdr:col>45</xdr:col>
      <xdr:colOff>409575</xdr:colOff>
      <xdr:row>48</xdr:row>
      <xdr:rowOff>0</xdr:rowOff>
    </xdr:to>
    <xdr:sp macro="" textlink="">
      <xdr:nvSpPr>
        <xdr:cNvPr id="7" name="Line 4"/>
        <xdr:cNvSpPr>
          <a:spLocks noChangeShapeType="1"/>
        </xdr:cNvSpPr>
      </xdr:nvSpPr>
      <xdr:spPr bwMode="auto">
        <a:xfrm flipV="1">
          <a:off x="762000" y="6858000"/>
          <a:ext cx="46672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0</xdr:colOff>
      <xdr:row>47</xdr:row>
      <xdr:rowOff>152400</xdr:rowOff>
    </xdr:from>
    <xdr:to>
      <xdr:col>45</xdr:col>
      <xdr:colOff>428625</xdr:colOff>
      <xdr:row>51</xdr:row>
      <xdr:rowOff>9525</xdr:rowOff>
    </xdr:to>
    <xdr:sp macro="" textlink="">
      <xdr:nvSpPr>
        <xdr:cNvPr id="8" name="Line 4"/>
        <xdr:cNvSpPr>
          <a:spLocks noChangeShapeType="1"/>
        </xdr:cNvSpPr>
      </xdr:nvSpPr>
      <xdr:spPr bwMode="auto">
        <a:xfrm flipV="1">
          <a:off x="762000" y="7315200"/>
          <a:ext cx="466725" cy="466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352425</xdr:colOff>
      <xdr:row>51</xdr:row>
      <xdr:rowOff>9525</xdr:rowOff>
    </xdr:from>
    <xdr:to>
      <xdr:col>45</xdr:col>
      <xdr:colOff>419100</xdr:colOff>
      <xdr:row>52</xdr:row>
      <xdr:rowOff>142875</xdr:rowOff>
    </xdr:to>
    <xdr:sp macro="" textlink="">
      <xdr:nvSpPr>
        <xdr:cNvPr id="9" name="Line 4"/>
        <xdr:cNvSpPr>
          <a:spLocks noChangeShapeType="1"/>
        </xdr:cNvSpPr>
      </xdr:nvSpPr>
      <xdr:spPr bwMode="auto">
        <a:xfrm flipV="1">
          <a:off x="762000" y="7781925"/>
          <a:ext cx="466725" cy="285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342900</xdr:colOff>
      <xdr:row>78</xdr:row>
      <xdr:rowOff>9525</xdr:rowOff>
    </xdr:from>
    <xdr:to>
      <xdr:col>45</xdr:col>
      <xdr:colOff>428625</xdr:colOff>
      <xdr:row>80</xdr:row>
      <xdr:rowOff>142875</xdr:rowOff>
    </xdr:to>
    <xdr:sp macro="" textlink="">
      <xdr:nvSpPr>
        <xdr:cNvPr id="10" name="Line 4"/>
        <xdr:cNvSpPr>
          <a:spLocks noChangeShapeType="1"/>
        </xdr:cNvSpPr>
      </xdr:nvSpPr>
      <xdr:spPr bwMode="auto">
        <a:xfrm flipV="1">
          <a:off x="762000" y="11944350"/>
          <a:ext cx="466725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81</xdr:row>
      <xdr:rowOff>19050</xdr:rowOff>
    </xdr:from>
    <xdr:to>
      <xdr:col>45</xdr:col>
      <xdr:colOff>428625</xdr:colOff>
      <xdr:row>83</xdr:row>
      <xdr:rowOff>0</xdr:rowOff>
    </xdr:to>
    <xdr:sp macro="" textlink="">
      <xdr:nvSpPr>
        <xdr:cNvPr id="11" name="Line 4"/>
        <xdr:cNvSpPr>
          <a:spLocks noChangeShapeType="1"/>
        </xdr:cNvSpPr>
      </xdr:nvSpPr>
      <xdr:spPr bwMode="auto">
        <a:xfrm flipV="1">
          <a:off x="952500" y="12411075"/>
          <a:ext cx="276225" cy="285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352425</xdr:colOff>
      <xdr:row>59</xdr:row>
      <xdr:rowOff>9525</xdr:rowOff>
    </xdr:from>
    <xdr:to>
      <xdr:col>45</xdr:col>
      <xdr:colOff>276225</xdr:colOff>
      <xdr:row>60</xdr:row>
      <xdr:rowOff>9525</xdr:rowOff>
    </xdr:to>
    <xdr:sp macro="" textlink="">
      <xdr:nvSpPr>
        <xdr:cNvPr id="12" name="Line 4"/>
        <xdr:cNvSpPr>
          <a:spLocks noChangeShapeType="1"/>
        </xdr:cNvSpPr>
      </xdr:nvSpPr>
      <xdr:spPr bwMode="auto">
        <a:xfrm flipV="1">
          <a:off x="762000" y="9001125"/>
          <a:ext cx="45720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352425</xdr:colOff>
      <xdr:row>66</xdr:row>
      <xdr:rowOff>9525</xdr:rowOff>
    </xdr:from>
    <xdr:to>
      <xdr:col>45</xdr:col>
      <xdr:colOff>419100</xdr:colOff>
      <xdr:row>67</xdr:row>
      <xdr:rowOff>142875</xdr:rowOff>
    </xdr:to>
    <xdr:sp macro="" textlink="">
      <xdr:nvSpPr>
        <xdr:cNvPr id="13" name="Line 4"/>
        <xdr:cNvSpPr>
          <a:spLocks noChangeShapeType="1"/>
        </xdr:cNvSpPr>
      </xdr:nvSpPr>
      <xdr:spPr bwMode="auto">
        <a:xfrm flipV="1">
          <a:off x="762000" y="10067925"/>
          <a:ext cx="466725" cy="285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352425</xdr:colOff>
      <xdr:row>68</xdr:row>
      <xdr:rowOff>9525</xdr:rowOff>
    </xdr:from>
    <xdr:to>
      <xdr:col>45</xdr:col>
      <xdr:colOff>419100</xdr:colOff>
      <xdr:row>69</xdr:row>
      <xdr:rowOff>142875</xdr:rowOff>
    </xdr:to>
    <xdr:sp macro="" textlink="">
      <xdr:nvSpPr>
        <xdr:cNvPr id="14" name="Line 4"/>
        <xdr:cNvSpPr>
          <a:spLocks noChangeShapeType="1"/>
        </xdr:cNvSpPr>
      </xdr:nvSpPr>
      <xdr:spPr bwMode="auto">
        <a:xfrm flipV="1">
          <a:off x="762000" y="10372725"/>
          <a:ext cx="466725" cy="285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352425</xdr:colOff>
      <xdr:row>70</xdr:row>
      <xdr:rowOff>9525</xdr:rowOff>
    </xdr:from>
    <xdr:to>
      <xdr:col>45</xdr:col>
      <xdr:colOff>419100</xdr:colOff>
      <xdr:row>71</xdr:row>
      <xdr:rowOff>142875</xdr:rowOff>
    </xdr:to>
    <xdr:sp macro="" textlink="">
      <xdr:nvSpPr>
        <xdr:cNvPr id="15" name="Line 4"/>
        <xdr:cNvSpPr>
          <a:spLocks noChangeShapeType="1"/>
        </xdr:cNvSpPr>
      </xdr:nvSpPr>
      <xdr:spPr bwMode="auto">
        <a:xfrm flipV="1">
          <a:off x="762000" y="10677525"/>
          <a:ext cx="466725" cy="285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0</xdr:colOff>
      <xdr:row>72</xdr:row>
      <xdr:rowOff>9525</xdr:rowOff>
    </xdr:from>
    <xdr:to>
      <xdr:col>46</xdr:col>
      <xdr:colOff>0</xdr:colOff>
      <xdr:row>73</xdr:row>
      <xdr:rowOff>142875</xdr:rowOff>
    </xdr:to>
    <xdr:sp macro="" textlink="">
      <xdr:nvSpPr>
        <xdr:cNvPr id="16" name="Line 4"/>
        <xdr:cNvSpPr>
          <a:spLocks noChangeShapeType="1"/>
        </xdr:cNvSpPr>
      </xdr:nvSpPr>
      <xdr:spPr bwMode="auto">
        <a:xfrm flipV="1">
          <a:off x="762000" y="10982325"/>
          <a:ext cx="466725" cy="285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9525</xdr:colOff>
      <xdr:row>59</xdr:row>
      <xdr:rowOff>152400</xdr:rowOff>
    </xdr:from>
    <xdr:to>
      <xdr:col>45</xdr:col>
      <xdr:colOff>428625</xdr:colOff>
      <xdr:row>63</xdr:row>
      <xdr:rowOff>9525</xdr:rowOff>
    </xdr:to>
    <xdr:sp macro="" textlink="">
      <xdr:nvSpPr>
        <xdr:cNvPr id="17" name="Line 4"/>
        <xdr:cNvSpPr>
          <a:spLocks noChangeShapeType="1"/>
        </xdr:cNvSpPr>
      </xdr:nvSpPr>
      <xdr:spPr bwMode="auto">
        <a:xfrm flipV="1">
          <a:off x="771525" y="9144000"/>
          <a:ext cx="457200" cy="466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0</xdr:colOff>
      <xdr:row>63</xdr:row>
      <xdr:rowOff>0</xdr:rowOff>
    </xdr:from>
    <xdr:to>
      <xdr:col>45</xdr:col>
      <xdr:colOff>428625</xdr:colOff>
      <xdr:row>65</xdr:row>
      <xdr:rowOff>142875</xdr:rowOff>
    </xdr:to>
    <xdr:sp macro="" textlink="">
      <xdr:nvSpPr>
        <xdr:cNvPr id="18" name="Line 4"/>
        <xdr:cNvSpPr>
          <a:spLocks noChangeShapeType="1"/>
        </xdr:cNvSpPr>
      </xdr:nvSpPr>
      <xdr:spPr bwMode="auto">
        <a:xfrm flipV="1">
          <a:off x="762000" y="9601200"/>
          <a:ext cx="466725" cy="447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9525</xdr:colOff>
      <xdr:row>38</xdr:row>
      <xdr:rowOff>0</xdr:rowOff>
    </xdr:from>
    <xdr:to>
      <xdr:col>45</xdr:col>
      <xdr:colOff>428625</xdr:colOff>
      <xdr:row>40</xdr:row>
      <xdr:rowOff>9525</xdr:rowOff>
    </xdr:to>
    <xdr:sp macro="" textlink="">
      <xdr:nvSpPr>
        <xdr:cNvPr id="19" name="Line 4"/>
        <xdr:cNvSpPr>
          <a:spLocks noChangeShapeType="1"/>
        </xdr:cNvSpPr>
      </xdr:nvSpPr>
      <xdr:spPr bwMode="auto">
        <a:xfrm flipV="1">
          <a:off x="771525" y="5791200"/>
          <a:ext cx="45720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352425</xdr:colOff>
      <xdr:row>40</xdr:row>
      <xdr:rowOff>0</xdr:rowOff>
    </xdr:from>
    <xdr:to>
      <xdr:col>45</xdr:col>
      <xdr:colOff>428625</xdr:colOff>
      <xdr:row>42</xdr:row>
      <xdr:rowOff>9525</xdr:rowOff>
    </xdr:to>
    <xdr:sp macro="" textlink="">
      <xdr:nvSpPr>
        <xdr:cNvPr id="20" name="Line 4"/>
        <xdr:cNvSpPr>
          <a:spLocks noChangeShapeType="1"/>
        </xdr:cNvSpPr>
      </xdr:nvSpPr>
      <xdr:spPr bwMode="auto">
        <a:xfrm flipV="1">
          <a:off x="762000" y="6096000"/>
          <a:ext cx="466725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0</xdr:colOff>
      <xdr:row>53</xdr:row>
      <xdr:rowOff>0</xdr:rowOff>
    </xdr:from>
    <xdr:to>
      <xdr:col>46</xdr:col>
      <xdr:colOff>0</xdr:colOff>
      <xdr:row>55</xdr:row>
      <xdr:rowOff>0</xdr:rowOff>
    </xdr:to>
    <xdr:sp macro="" textlink="">
      <xdr:nvSpPr>
        <xdr:cNvPr id="21" name="Line 4"/>
        <xdr:cNvSpPr>
          <a:spLocks noChangeShapeType="1"/>
        </xdr:cNvSpPr>
      </xdr:nvSpPr>
      <xdr:spPr bwMode="auto">
        <a:xfrm flipV="1">
          <a:off x="762000" y="8077200"/>
          <a:ext cx="466725" cy="304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0</xdr:colOff>
      <xdr:row>55</xdr:row>
      <xdr:rowOff>0</xdr:rowOff>
    </xdr:from>
    <xdr:to>
      <xdr:col>46</xdr:col>
      <xdr:colOff>0</xdr:colOff>
      <xdr:row>57</xdr:row>
      <xdr:rowOff>0</xdr:rowOff>
    </xdr:to>
    <xdr:sp macro="" textlink="">
      <xdr:nvSpPr>
        <xdr:cNvPr id="22" name="Line 4"/>
        <xdr:cNvSpPr>
          <a:spLocks noChangeShapeType="1"/>
        </xdr:cNvSpPr>
      </xdr:nvSpPr>
      <xdr:spPr bwMode="auto">
        <a:xfrm flipV="1">
          <a:off x="762000" y="8382000"/>
          <a:ext cx="466725" cy="304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0</xdr:colOff>
      <xdr:row>57</xdr:row>
      <xdr:rowOff>0</xdr:rowOff>
    </xdr:from>
    <xdr:to>
      <xdr:col>46</xdr:col>
      <xdr:colOff>0</xdr:colOff>
      <xdr:row>59</xdr:row>
      <xdr:rowOff>0</xdr:rowOff>
    </xdr:to>
    <xdr:sp macro="" textlink="">
      <xdr:nvSpPr>
        <xdr:cNvPr id="23" name="Line 4"/>
        <xdr:cNvSpPr>
          <a:spLocks noChangeShapeType="1"/>
        </xdr:cNvSpPr>
      </xdr:nvSpPr>
      <xdr:spPr bwMode="auto">
        <a:xfrm flipV="1">
          <a:off x="762000" y="8686800"/>
          <a:ext cx="466725" cy="304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1</xdr:row>
          <xdr:rowOff>9525</xdr:rowOff>
        </xdr:from>
        <xdr:to>
          <xdr:col>51</xdr:col>
          <xdr:colOff>542925</xdr:colOff>
          <xdr:row>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Открытие формы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86</xdr:col>
          <xdr:colOff>333375</xdr:colOff>
          <xdr:row>1</xdr:row>
          <xdr:rowOff>9525</xdr:rowOff>
        </xdr:from>
        <xdr:to>
          <xdr:col>92</xdr:col>
          <xdr:colOff>0</xdr:colOff>
          <xdr:row>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Кнопка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108</xdr:col>
          <xdr:colOff>381000</xdr:colOff>
          <xdr:row>1</xdr:row>
          <xdr:rowOff>28575</xdr:rowOff>
        </xdr:from>
        <xdr:to>
          <xdr:col>109</xdr:col>
          <xdr:colOff>666750</xdr:colOff>
          <xdr:row>6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Кнопка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EE140"/>
  <sheetViews>
    <sheetView tabSelected="1" topLeftCell="Y1" workbookViewId="0">
      <pane ySplit="14" topLeftCell="A15" activePane="bottomLeft" state="frozen"/>
      <selection pane="bottomLeft" activeCell="AN10" sqref="AN10"/>
    </sheetView>
  </sheetViews>
  <sheetFormatPr defaultRowHeight="15" outlineLevelCol="1" x14ac:dyDescent="0.25"/>
  <cols>
    <col min="1" max="1" width="11.42578125" customWidth="1" outlineLevel="1"/>
    <col min="2" max="30" width="0.85546875" customWidth="1" outlineLevel="1"/>
    <col min="31" max="31" width="5.42578125" customWidth="1" outlineLevel="1"/>
    <col min="32" max="32" width="18" customWidth="1" outlineLevel="1"/>
    <col min="33" max="33" width="13.5703125" customWidth="1" outlineLevel="1"/>
    <col min="34" max="34" width="17" customWidth="1" outlineLevel="1"/>
    <col min="35" max="35" width="10.42578125" customWidth="1" outlineLevel="1"/>
    <col min="36" max="36" width="13.42578125" customWidth="1" outlineLevel="1"/>
    <col min="37" max="37" width="12.42578125" customWidth="1" outlineLevel="1"/>
    <col min="38" max="38" width="14.42578125" customWidth="1" outlineLevel="1"/>
    <col min="39" max="39" width="15.42578125" customWidth="1" outlineLevel="1"/>
    <col min="40" max="40" width="16" customWidth="1" outlineLevel="1"/>
    <col min="41" max="41" width="10" customWidth="1" outlineLevel="1"/>
    <col min="42" max="42" width="28.7109375" style="361" customWidth="1" outlineLevel="1"/>
    <col min="43" max="43" width="2.85546875" customWidth="1" outlineLevel="1"/>
    <col min="44" max="44" width="3.5703125" customWidth="1" outlineLevel="1"/>
    <col min="45" max="45" width="2.7109375" customWidth="1" outlineLevel="1"/>
    <col min="46" max="46" width="4.28515625" customWidth="1" outlineLevel="1"/>
    <col min="47" max="47" width="11.42578125" customWidth="1" outlineLevel="1"/>
    <col min="48" max="48" width="13.140625" style="1" customWidth="1" outlineLevel="1"/>
    <col min="49" max="49" width="12.42578125" customWidth="1" outlineLevel="1"/>
    <col min="50" max="50" width="11.7109375" customWidth="1" outlineLevel="1"/>
    <col min="51" max="51" width="25.28515625" customWidth="1" outlineLevel="1"/>
    <col min="52" max="52" width="12.85546875" customWidth="1" outlineLevel="1"/>
    <col min="53" max="53" width="14.28515625" customWidth="1" outlineLevel="1"/>
    <col min="54" max="54" width="15.140625" customWidth="1" outlineLevel="1"/>
    <col min="55" max="55" width="8.85546875" customWidth="1" outlineLevel="1"/>
    <col min="56" max="74" width="1.140625" customWidth="1" outlineLevel="1"/>
    <col min="75" max="75" width="2.140625" customWidth="1" outlineLevel="1"/>
    <col min="76" max="76" width="3.42578125" customWidth="1" outlineLevel="1"/>
    <col min="77" max="77" width="13.7109375" customWidth="1" outlineLevel="1"/>
    <col min="78" max="78" width="10.28515625" customWidth="1" outlineLevel="1"/>
    <col min="79" max="79" width="17.28515625" customWidth="1" outlineLevel="1"/>
    <col min="80" max="80" width="25.85546875" customWidth="1" outlineLevel="1"/>
    <col min="81" max="81" width="27.28515625" customWidth="1" outlineLevel="1"/>
    <col min="82" max="82" width="11.5703125" customWidth="1" outlineLevel="1"/>
    <col min="83" max="83" width="24.7109375" customWidth="1" outlineLevel="1"/>
    <col min="84" max="84" width="10.42578125" customWidth="1" outlineLevel="1"/>
    <col min="85" max="85" width="13.5703125" customWidth="1" outlineLevel="1"/>
    <col min="86" max="86" width="12.140625" customWidth="1" outlineLevel="1"/>
    <col min="87" max="87" width="18.7109375" customWidth="1" outlineLevel="1"/>
    <col min="88" max="88" width="20.7109375" customWidth="1" outlineLevel="1"/>
    <col min="89" max="89" width="20" customWidth="1" outlineLevel="1"/>
    <col min="90" max="90" width="17.7109375" customWidth="1" outlineLevel="1"/>
    <col min="91" max="91" width="19.7109375" customWidth="1" outlineLevel="1"/>
    <col min="92" max="92" width="0.5703125" customWidth="1" outlineLevel="1"/>
    <col min="93" max="93" width="23.5703125" customWidth="1" outlineLevel="1"/>
    <col min="94" max="94" width="14" customWidth="1" outlineLevel="1"/>
    <col min="95" max="97" width="1.140625" customWidth="1" outlineLevel="1"/>
    <col min="98" max="98" width="8.42578125" customWidth="1" outlineLevel="1"/>
    <col min="99" max="99" width="6.7109375" customWidth="1" outlineLevel="1"/>
    <col min="100" max="100" width="13.28515625" customWidth="1" outlineLevel="1"/>
    <col min="101" max="101" width="3.28515625" customWidth="1" outlineLevel="1"/>
    <col min="102" max="102" width="1.140625" customWidth="1" outlineLevel="1"/>
    <col min="103" max="103" width="3.7109375" customWidth="1" outlineLevel="1"/>
    <col min="104" max="104" width="22.85546875" customWidth="1" outlineLevel="1"/>
    <col min="105" max="105" width="19.140625" customWidth="1" outlineLevel="1"/>
    <col min="106" max="106" width="18.140625" customWidth="1" outlineLevel="1"/>
    <col min="107" max="107" width="17.7109375" customWidth="1" outlineLevel="1"/>
    <col min="108" max="108" width="15" customWidth="1" outlineLevel="1"/>
    <col min="109" max="109" width="16.28515625" customWidth="1" outlineLevel="1"/>
    <col min="110" max="110" width="14.28515625" customWidth="1" outlineLevel="1"/>
    <col min="111" max="111" width="16.5703125" customWidth="1" outlineLevel="1"/>
    <col min="112" max="112" width="14.85546875" customWidth="1" outlineLevel="1"/>
    <col min="113" max="113" width="5" customWidth="1" outlineLevel="1"/>
    <col min="114" max="114" width="4.7109375" customWidth="1" outlineLevel="1"/>
    <col min="115" max="115" width="5.5703125" customWidth="1" outlineLevel="1"/>
    <col min="116" max="116" width="30.140625" customWidth="1" outlineLevel="1"/>
    <col min="117" max="117" width="21.28515625" customWidth="1" outlineLevel="1"/>
    <col min="118" max="119" width="6" customWidth="1" outlineLevel="1"/>
    <col min="120" max="120" width="1.5703125" customWidth="1" outlineLevel="1"/>
    <col min="121" max="121" width="9.140625" customWidth="1" outlineLevel="1"/>
    <col min="135" max="135" width="20.5703125" customWidth="1"/>
  </cols>
  <sheetData>
    <row r="1" spans="1:119" ht="4.5" customHeight="1" x14ac:dyDescent="0.25">
      <c r="A1" s="126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360"/>
      <c r="AQ1" s="127"/>
      <c r="AR1" s="127"/>
      <c r="AS1" s="127"/>
      <c r="AT1" s="127"/>
      <c r="AU1" s="127"/>
      <c r="AV1" s="128"/>
      <c r="AW1" s="127"/>
      <c r="AX1" s="127"/>
      <c r="AY1" s="127"/>
      <c r="AZ1" s="127"/>
      <c r="BA1" s="127"/>
      <c r="BB1" s="127"/>
      <c r="BC1" s="127"/>
      <c r="BD1" s="127"/>
      <c r="BE1" s="127"/>
      <c r="BF1" s="127"/>
      <c r="BG1" s="127"/>
      <c r="BH1" s="127"/>
      <c r="BI1" s="127"/>
      <c r="BJ1" s="127"/>
      <c r="BK1" s="127"/>
      <c r="BL1" s="127"/>
      <c r="BM1" s="127"/>
      <c r="BN1" s="127"/>
      <c r="BO1" s="127"/>
      <c r="BP1" s="127"/>
      <c r="BQ1" s="127"/>
      <c r="BR1" s="127"/>
      <c r="BS1" s="127"/>
      <c r="BT1" s="127"/>
      <c r="BU1" s="127"/>
      <c r="BV1" s="127"/>
      <c r="BW1" s="127"/>
      <c r="BX1" s="127"/>
      <c r="BY1" s="129"/>
      <c r="BZ1" s="127"/>
      <c r="CA1" s="127"/>
      <c r="CB1" s="127"/>
      <c r="CC1" s="127"/>
      <c r="CD1" s="127"/>
      <c r="CE1" s="127"/>
      <c r="CF1" s="127"/>
      <c r="CG1" s="127"/>
      <c r="CH1" s="127"/>
      <c r="CI1" s="127"/>
      <c r="CJ1" s="127"/>
      <c r="CK1" s="127"/>
      <c r="CL1" s="127"/>
      <c r="CM1" s="127"/>
      <c r="CN1" s="127"/>
      <c r="CO1" s="130"/>
      <c r="CP1" s="126"/>
      <c r="CQ1" s="127"/>
      <c r="CR1" s="127"/>
      <c r="CS1" s="127"/>
      <c r="CT1" s="127"/>
      <c r="CU1" s="127"/>
      <c r="CV1" s="127"/>
      <c r="CW1" s="127"/>
      <c r="CX1" s="127"/>
      <c r="CY1" s="127"/>
      <c r="CZ1" s="127"/>
      <c r="DA1" s="127"/>
      <c r="DB1" s="127"/>
      <c r="DC1" s="127"/>
      <c r="DD1" s="127"/>
      <c r="DE1" s="127"/>
      <c r="DF1" s="127"/>
      <c r="DG1" s="127"/>
      <c r="DH1" s="127"/>
      <c r="DI1" s="127"/>
      <c r="DJ1" s="127"/>
      <c r="DK1" s="127"/>
      <c r="DL1" s="127"/>
      <c r="DM1" s="127"/>
      <c r="DN1" s="127"/>
      <c r="DO1" s="130"/>
    </row>
    <row r="2" spans="1:119" ht="4.5" customHeight="1" x14ac:dyDescent="0.25">
      <c r="A2" s="131"/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  <c r="AK2" s="121"/>
      <c r="AL2" s="121"/>
      <c r="AM2" s="121"/>
      <c r="AN2" s="121"/>
      <c r="AO2" s="121"/>
      <c r="AP2" s="236"/>
      <c r="AQ2" s="121"/>
      <c r="AR2" s="121"/>
      <c r="AS2" s="121"/>
      <c r="AT2" s="121"/>
      <c r="AU2" s="121"/>
      <c r="AV2" s="132"/>
      <c r="AW2" s="121"/>
      <c r="AX2" s="121"/>
      <c r="AY2" s="121"/>
      <c r="AZ2" s="121"/>
      <c r="BA2" s="121"/>
      <c r="BB2" s="121"/>
      <c r="BC2" s="121"/>
      <c r="BD2" s="121"/>
      <c r="BE2" s="121"/>
      <c r="BF2" s="121"/>
      <c r="BG2" s="121"/>
      <c r="BH2" s="121"/>
      <c r="BI2" s="121"/>
      <c r="BJ2" s="121"/>
      <c r="BK2" s="121"/>
      <c r="BL2" s="121"/>
      <c r="BM2" s="121"/>
      <c r="BN2" s="121"/>
      <c r="BO2" s="121"/>
      <c r="BP2" s="121"/>
      <c r="BQ2" s="121"/>
      <c r="BR2" s="121"/>
      <c r="BS2" s="121"/>
      <c r="BT2" s="121"/>
      <c r="BU2" s="121"/>
      <c r="BV2" s="121"/>
      <c r="BW2" s="121"/>
      <c r="BX2" s="121"/>
      <c r="BY2" s="120"/>
      <c r="BZ2" s="121"/>
      <c r="CA2" s="121"/>
      <c r="CB2" s="121"/>
      <c r="CC2" s="121"/>
      <c r="CD2" s="121"/>
      <c r="CE2" s="121"/>
      <c r="CF2" s="121"/>
      <c r="CG2" s="121"/>
      <c r="CH2" s="121"/>
      <c r="CI2" s="121"/>
      <c r="CJ2" s="121"/>
      <c r="CK2" s="121"/>
      <c r="CL2" s="121"/>
      <c r="CM2" s="120"/>
      <c r="CN2" s="121"/>
      <c r="CO2" s="133"/>
      <c r="CP2" s="131"/>
      <c r="CQ2" s="121"/>
      <c r="CR2" s="121"/>
      <c r="CS2" s="121"/>
      <c r="CT2" s="121"/>
      <c r="CU2" s="121"/>
      <c r="CV2" s="121"/>
      <c r="CW2" s="121"/>
      <c r="CX2" s="121"/>
      <c r="CY2" s="121"/>
      <c r="CZ2" s="121"/>
      <c r="DA2" s="121"/>
      <c r="DB2" s="121"/>
      <c r="DC2" s="121"/>
      <c r="DD2" s="121"/>
      <c r="DE2" s="121"/>
      <c r="DF2" s="121"/>
      <c r="DG2" s="121"/>
      <c r="DH2" s="121"/>
      <c r="DI2" s="121"/>
      <c r="DJ2" s="121"/>
      <c r="DK2" s="121"/>
      <c r="DL2" s="121"/>
      <c r="DM2" s="121"/>
      <c r="DN2" s="121"/>
      <c r="DO2" s="133"/>
    </row>
    <row r="3" spans="1:119" ht="4.5" customHeight="1" x14ac:dyDescent="0.25">
      <c r="A3" s="131"/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236"/>
      <c r="AQ3" s="121"/>
      <c r="AR3" s="121"/>
      <c r="AS3" s="121"/>
      <c r="AT3" s="121"/>
      <c r="AU3" s="121"/>
      <c r="AV3" s="132"/>
      <c r="AW3" s="121"/>
      <c r="AX3" s="121"/>
      <c r="AY3" s="121"/>
      <c r="AZ3" s="121"/>
      <c r="BA3" s="121"/>
      <c r="BB3" s="121"/>
      <c r="BC3" s="121"/>
      <c r="BD3" s="121"/>
      <c r="BE3" s="121"/>
      <c r="BF3" s="121"/>
      <c r="BG3" s="121"/>
      <c r="BH3" s="121"/>
      <c r="BI3" s="121"/>
      <c r="BJ3" s="121"/>
      <c r="BK3" s="121"/>
      <c r="BL3" s="121"/>
      <c r="BM3" s="121"/>
      <c r="BN3" s="121"/>
      <c r="BO3" s="121"/>
      <c r="BP3" s="121"/>
      <c r="BQ3" s="121"/>
      <c r="BR3" s="121"/>
      <c r="BS3" s="121"/>
      <c r="BT3" s="121"/>
      <c r="BU3" s="121"/>
      <c r="BV3" s="121"/>
      <c r="BW3" s="121"/>
      <c r="BX3" s="121"/>
      <c r="BY3" s="120"/>
      <c r="BZ3" s="121"/>
      <c r="CA3" s="121"/>
      <c r="CB3" s="121"/>
      <c r="CC3" s="121"/>
      <c r="CD3" s="121"/>
      <c r="CE3" s="121"/>
      <c r="CF3" s="121"/>
      <c r="CG3" s="121"/>
      <c r="CH3" s="121"/>
      <c r="CI3" s="121"/>
      <c r="CJ3" s="121"/>
      <c r="CK3" s="121"/>
      <c r="CL3" s="121"/>
      <c r="CM3" s="120"/>
      <c r="CN3" s="121"/>
      <c r="CO3" s="133"/>
      <c r="CP3" s="131"/>
      <c r="CQ3" s="121"/>
      <c r="CR3" s="121"/>
      <c r="CS3" s="121"/>
      <c r="CT3" s="121"/>
      <c r="CU3" s="121"/>
      <c r="CV3" s="121"/>
      <c r="CW3" s="121"/>
      <c r="CX3" s="121"/>
      <c r="CY3" s="121"/>
      <c r="CZ3" s="121"/>
      <c r="DA3" s="121"/>
      <c r="DB3" s="121"/>
      <c r="DC3" s="121"/>
      <c r="DD3" s="121"/>
      <c r="DE3" s="121"/>
      <c r="DF3" s="121"/>
      <c r="DG3" s="121"/>
      <c r="DH3" s="121"/>
      <c r="DI3" s="121"/>
      <c r="DJ3" s="121"/>
      <c r="DK3" s="121"/>
      <c r="DL3" s="121"/>
      <c r="DM3" s="121"/>
      <c r="DN3" s="121"/>
      <c r="DO3" s="133"/>
    </row>
    <row r="4" spans="1:119" ht="4.5" customHeight="1" x14ac:dyDescent="0.25">
      <c r="A4" s="131"/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  <c r="AN4" s="121"/>
      <c r="AO4" s="121"/>
      <c r="AP4" s="236"/>
      <c r="AQ4" s="121"/>
      <c r="AR4" s="121"/>
      <c r="AS4" s="121"/>
      <c r="AT4" s="121"/>
      <c r="AU4" s="121"/>
      <c r="AV4" s="132"/>
      <c r="AW4" s="121"/>
      <c r="AX4" s="121"/>
      <c r="AY4" s="121"/>
      <c r="AZ4" s="121"/>
      <c r="BA4" s="121"/>
      <c r="BB4" s="121"/>
      <c r="BC4" s="121"/>
      <c r="BD4" s="121"/>
      <c r="BE4" s="121"/>
      <c r="BF4" s="121"/>
      <c r="BG4" s="121"/>
      <c r="BH4" s="121"/>
      <c r="BI4" s="121"/>
      <c r="BJ4" s="121"/>
      <c r="BK4" s="121"/>
      <c r="BL4" s="121"/>
      <c r="BM4" s="121"/>
      <c r="BN4" s="121"/>
      <c r="BO4" s="121"/>
      <c r="BP4" s="121"/>
      <c r="BQ4" s="121"/>
      <c r="BR4" s="121"/>
      <c r="BS4" s="121"/>
      <c r="BT4" s="121"/>
      <c r="BU4" s="121"/>
      <c r="BV4" s="121"/>
      <c r="BW4" s="121"/>
      <c r="BX4" s="121"/>
      <c r="BY4" s="120"/>
      <c r="BZ4" s="121"/>
      <c r="CA4" s="121"/>
      <c r="CB4" s="121"/>
      <c r="CC4" s="121"/>
      <c r="CD4" s="121"/>
      <c r="CE4" s="121"/>
      <c r="CF4" s="121"/>
      <c r="CG4" s="121"/>
      <c r="CH4" s="121"/>
      <c r="CI4" s="121"/>
      <c r="CJ4" s="121"/>
      <c r="CK4" s="121"/>
      <c r="CL4" s="121"/>
      <c r="CM4" s="120"/>
      <c r="CN4" s="121"/>
      <c r="CO4" s="133"/>
      <c r="CP4" s="131"/>
      <c r="CQ4" s="121"/>
      <c r="CR4" s="121"/>
      <c r="CS4" s="121"/>
      <c r="CT4" s="121"/>
      <c r="CU4" s="121"/>
      <c r="CV4" s="121"/>
      <c r="CW4" s="121"/>
      <c r="CX4" s="121"/>
      <c r="CY4" s="121"/>
      <c r="CZ4" s="121"/>
      <c r="DA4" s="121"/>
      <c r="DB4" s="121"/>
      <c r="DC4" s="121"/>
      <c r="DD4" s="121"/>
      <c r="DE4" s="121"/>
      <c r="DF4" s="121"/>
      <c r="DG4" s="121"/>
      <c r="DH4" s="121"/>
      <c r="DI4" s="121"/>
      <c r="DJ4" s="121"/>
      <c r="DK4" s="121"/>
      <c r="DL4" s="121"/>
      <c r="DM4" s="121"/>
      <c r="DN4" s="121"/>
      <c r="DO4" s="133"/>
    </row>
    <row r="5" spans="1:119" ht="4.5" customHeight="1" x14ac:dyDescent="0.25">
      <c r="A5" s="131"/>
      <c r="B5" s="121"/>
      <c r="C5" s="121"/>
      <c r="D5" s="121"/>
      <c r="E5" s="121"/>
      <c r="F5" s="121"/>
      <c r="G5" s="121"/>
      <c r="H5" s="121"/>
      <c r="I5" s="121"/>
      <c r="J5" s="121"/>
      <c r="K5" s="121"/>
      <c r="L5" s="121"/>
      <c r="M5" s="121"/>
      <c r="N5" s="121"/>
      <c r="O5" s="121"/>
      <c r="P5" s="121"/>
      <c r="Q5" s="121"/>
      <c r="R5" s="121"/>
      <c r="S5" s="121"/>
      <c r="T5" s="121"/>
      <c r="U5" s="121"/>
      <c r="V5" s="121"/>
      <c r="W5" s="121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21"/>
      <c r="AL5" s="121"/>
      <c r="AM5" s="121"/>
      <c r="AN5" s="121"/>
      <c r="AO5" s="121"/>
      <c r="AP5" s="236"/>
      <c r="AQ5" s="121"/>
      <c r="AR5" s="121"/>
      <c r="AS5" s="121"/>
      <c r="AT5" s="121"/>
      <c r="AU5" s="121"/>
      <c r="AV5" s="132"/>
      <c r="AW5" s="121"/>
      <c r="AX5" s="121"/>
      <c r="AY5" s="121"/>
      <c r="AZ5" s="121"/>
      <c r="BA5" s="121"/>
      <c r="BB5" s="121"/>
      <c r="BC5" s="121"/>
      <c r="BD5" s="121"/>
      <c r="BE5" s="121"/>
      <c r="BF5" s="121"/>
      <c r="BG5" s="121"/>
      <c r="BH5" s="121"/>
      <c r="BI5" s="121"/>
      <c r="BJ5" s="121"/>
      <c r="BK5" s="121"/>
      <c r="BL5" s="121"/>
      <c r="BM5" s="121"/>
      <c r="BN5" s="121"/>
      <c r="BO5" s="121"/>
      <c r="BP5" s="121"/>
      <c r="BQ5" s="121"/>
      <c r="BR5" s="121"/>
      <c r="BS5" s="121"/>
      <c r="BT5" s="121"/>
      <c r="BU5" s="121"/>
      <c r="BV5" s="121"/>
      <c r="BW5" s="121"/>
      <c r="BX5" s="121"/>
      <c r="BY5" s="120"/>
      <c r="BZ5" s="121"/>
      <c r="CA5" s="121"/>
      <c r="CB5" s="121"/>
      <c r="CC5" s="121"/>
      <c r="CD5" s="121"/>
      <c r="CE5" s="121"/>
      <c r="CF5" s="121"/>
      <c r="CG5" s="121"/>
      <c r="CH5" s="121"/>
      <c r="CI5" s="121"/>
      <c r="CJ5" s="121"/>
      <c r="CK5" s="121"/>
      <c r="CL5" s="121"/>
      <c r="CM5" s="121"/>
      <c r="CN5" s="121"/>
      <c r="CO5" s="133"/>
      <c r="CP5" s="131"/>
      <c r="CQ5" s="121"/>
      <c r="CR5" s="121"/>
      <c r="CS5" s="121"/>
      <c r="CT5" s="121"/>
      <c r="CU5" s="121"/>
      <c r="CV5" s="121"/>
      <c r="CW5" s="121"/>
      <c r="CX5" s="121"/>
      <c r="CY5" s="121"/>
      <c r="CZ5" s="121"/>
      <c r="DA5" s="121"/>
      <c r="DB5" s="121"/>
      <c r="DC5" s="121"/>
      <c r="DD5" s="121"/>
      <c r="DE5" s="121"/>
      <c r="DF5" s="121"/>
      <c r="DG5" s="121"/>
      <c r="DH5" s="121"/>
      <c r="DI5" s="121"/>
      <c r="DJ5" s="121"/>
      <c r="DK5" s="121"/>
      <c r="DL5" s="121"/>
      <c r="DM5" s="121"/>
      <c r="DN5" s="121"/>
      <c r="DO5" s="133"/>
    </row>
    <row r="6" spans="1:119" ht="4.5" customHeight="1" x14ac:dyDescent="0.25">
      <c r="A6" s="131"/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236"/>
      <c r="AQ6" s="121"/>
      <c r="AR6" s="121"/>
      <c r="AS6" s="121"/>
      <c r="AT6" s="121"/>
      <c r="AU6" s="121"/>
      <c r="AV6" s="132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121"/>
      <c r="BY6" s="120"/>
      <c r="BZ6" s="121"/>
      <c r="CA6" s="121"/>
      <c r="CB6" s="121"/>
      <c r="CC6" s="121"/>
      <c r="CD6" s="121"/>
      <c r="CE6" s="121"/>
      <c r="CF6" s="121"/>
      <c r="CG6" s="121"/>
      <c r="CH6" s="121"/>
      <c r="CI6" s="121"/>
      <c r="CJ6" s="121"/>
      <c r="CK6" s="121"/>
      <c r="CL6" s="121"/>
      <c r="CM6" s="121"/>
      <c r="CN6" s="121"/>
      <c r="CO6" s="133"/>
      <c r="CP6" s="131"/>
      <c r="CQ6" s="121"/>
      <c r="CR6" s="121"/>
      <c r="CS6" s="121"/>
      <c r="CT6" s="121"/>
      <c r="CU6" s="121"/>
      <c r="CV6" s="121"/>
      <c r="CW6" s="121"/>
      <c r="CX6" s="121"/>
      <c r="CY6" s="121"/>
      <c r="CZ6" s="121"/>
      <c r="DA6" s="121"/>
      <c r="DB6" s="121"/>
      <c r="DC6" s="121"/>
      <c r="DD6" s="121"/>
      <c r="DE6" s="121"/>
      <c r="DF6" s="121"/>
      <c r="DG6" s="121"/>
      <c r="DH6" s="121"/>
      <c r="DI6" s="121"/>
      <c r="DJ6" s="121"/>
      <c r="DK6" s="121"/>
      <c r="DL6" s="121"/>
      <c r="DM6" s="121"/>
      <c r="DN6" s="121"/>
      <c r="DO6" s="133"/>
    </row>
    <row r="7" spans="1:119" ht="4.5" customHeight="1" thickBot="1" x14ac:dyDescent="0.3">
      <c r="A7" s="13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236"/>
      <c r="AQ7" s="121"/>
      <c r="AR7" s="121"/>
      <c r="AS7" s="121"/>
      <c r="AT7" s="121"/>
      <c r="AU7" s="121"/>
      <c r="AV7" s="132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121"/>
      <c r="BY7" s="429"/>
      <c r="BZ7" s="429"/>
      <c r="CA7" s="429"/>
      <c r="CB7" s="429"/>
      <c r="CC7" s="429"/>
      <c r="CD7" s="429"/>
      <c r="CE7" s="266"/>
      <c r="CF7" s="266"/>
      <c r="CG7" s="266"/>
      <c r="CH7" s="266"/>
      <c r="CI7" s="121"/>
      <c r="CJ7" s="121"/>
      <c r="CK7" s="121"/>
      <c r="CL7" s="121"/>
      <c r="CM7" s="121"/>
      <c r="CN7" s="121"/>
      <c r="CO7" s="133"/>
      <c r="CP7" s="131"/>
      <c r="CQ7" s="121"/>
      <c r="CR7" s="121"/>
      <c r="CS7" s="121"/>
      <c r="CT7" s="121"/>
      <c r="CU7" s="121"/>
      <c r="CV7" s="121"/>
      <c r="CW7" s="121"/>
      <c r="CX7" s="121"/>
      <c r="CY7" s="121"/>
      <c r="CZ7" s="121"/>
      <c r="DA7" s="121"/>
      <c r="DB7" s="121"/>
      <c r="DC7" s="121"/>
      <c r="DD7" s="121"/>
      <c r="DE7" s="121"/>
      <c r="DF7" s="121"/>
      <c r="DG7" s="121"/>
      <c r="DH7" s="121"/>
      <c r="DI7" s="121"/>
      <c r="DJ7" s="121"/>
      <c r="DK7" s="121"/>
      <c r="DL7" s="121"/>
      <c r="DM7" s="121"/>
      <c r="DN7" s="121"/>
      <c r="DO7" s="133"/>
    </row>
    <row r="8" spans="1:119" ht="18.75" customHeight="1" thickBot="1" x14ac:dyDescent="0.3">
      <c r="A8" s="131"/>
      <c r="B8" s="121"/>
      <c r="C8" s="121"/>
      <c r="D8" s="121"/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21"/>
      <c r="AL8" s="121"/>
      <c r="AM8" s="121"/>
      <c r="AN8" s="121"/>
      <c r="AO8" s="121"/>
      <c r="AP8" s="236"/>
      <c r="AQ8" s="434" t="s">
        <v>0</v>
      </c>
      <c r="AR8" s="435"/>
      <c r="AS8" s="435"/>
      <c r="AT8" s="435"/>
      <c r="AU8" s="435"/>
      <c r="AV8" s="435"/>
      <c r="AW8" s="435"/>
      <c r="AX8" s="436"/>
      <c r="AY8" s="337">
        <v>15588001</v>
      </c>
      <c r="AZ8" s="211" t="s">
        <v>78</v>
      </c>
      <c r="BA8" s="92" t="s">
        <v>1</v>
      </c>
      <c r="BB8" s="108"/>
      <c r="BC8" s="108"/>
      <c r="BD8" s="108"/>
      <c r="BE8" s="108"/>
      <c r="BF8" s="108"/>
      <c r="BG8" s="108"/>
      <c r="BH8" s="108"/>
      <c r="BI8" s="108"/>
      <c r="BJ8" s="108"/>
      <c r="BK8" s="108"/>
      <c r="BL8" s="108"/>
      <c r="BM8" s="108"/>
      <c r="BN8" s="108"/>
      <c r="BO8" s="108"/>
      <c r="BP8" s="108"/>
      <c r="BQ8" s="108"/>
      <c r="BR8" s="108"/>
      <c r="BS8" s="108"/>
      <c r="BT8" s="108"/>
      <c r="BU8" s="108"/>
      <c r="BV8" s="108"/>
      <c r="BW8" s="108"/>
      <c r="BX8" s="108"/>
      <c r="BY8" s="109"/>
      <c r="BZ8" s="109"/>
      <c r="CA8" s="110"/>
      <c r="CB8" s="92" t="s">
        <v>7</v>
      </c>
      <c r="CC8" s="111"/>
      <c r="CD8" s="111"/>
      <c r="CE8" s="111"/>
      <c r="CF8" s="111"/>
      <c r="CG8" s="111"/>
      <c r="CH8" s="111"/>
      <c r="CI8" s="108"/>
      <c r="CJ8" s="108"/>
      <c r="CK8" s="108"/>
      <c r="CL8" s="108"/>
      <c r="CM8" s="108"/>
      <c r="CN8" s="112"/>
      <c r="CO8" s="133"/>
      <c r="CP8" s="131"/>
      <c r="CQ8" s="121"/>
      <c r="CR8" s="121"/>
      <c r="CS8" s="121"/>
      <c r="CT8" s="121"/>
      <c r="CU8" s="121"/>
      <c r="CV8" s="121"/>
      <c r="CW8" s="121"/>
      <c r="CX8" s="121"/>
      <c r="CY8" s="121"/>
      <c r="CZ8" s="121"/>
      <c r="DA8" s="121"/>
      <c r="DB8" s="121"/>
      <c r="DC8" s="121"/>
      <c r="DD8" s="121"/>
      <c r="DE8" s="121"/>
      <c r="DF8" s="121"/>
      <c r="DG8" s="121"/>
      <c r="DH8" s="121"/>
      <c r="DI8" s="121"/>
      <c r="DJ8" s="121"/>
      <c r="DK8" s="121"/>
      <c r="DL8" s="121"/>
      <c r="DM8" s="121"/>
      <c r="DN8" s="121"/>
      <c r="DO8" s="133"/>
    </row>
    <row r="9" spans="1:119" ht="18.75" thickBot="1" x14ac:dyDescent="0.3">
      <c r="A9" s="131"/>
      <c r="B9" s="121"/>
      <c r="C9" s="121"/>
      <c r="D9" s="121"/>
      <c r="E9" s="121"/>
      <c r="F9" s="121"/>
      <c r="G9" s="121"/>
      <c r="H9" s="121"/>
      <c r="I9" s="121"/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21"/>
      <c r="AL9" s="121"/>
      <c r="AM9" s="121"/>
      <c r="AN9" s="121"/>
      <c r="AO9" s="121"/>
      <c r="AP9" s="236"/>
      <c r="AQ9" s="437" t="s">
        <v>2</v>
      </c>
      <c r="AR9" s="438"/>
      <c r="AS9" s="438"/>
      <c r="AT9" s="438"/>
      <c r="AU9" s="438"/>
      <c r="AV9" s="438"/>
      <c r="AW9" s="438"/>
      <c r="AX9" s="439"/>
      <c r="AY9" s="357">
        <v>3931897</v>
      </c>
      <c r="AZ9" s="211" t="s">
        <v>78</v>
      </c>
      <c r="BA9" s="92" t="s">
        <v>3</v>
      </c>
      <c r="BB9" s="108"/>
      <c r="BC9" s="108"/>
      <c r="BD9" s="108"/>
      <c r="BE9" s="108"/>
      <c r="BF9" s="108"/>
      <c r="BG9" s="108"/>
      <c r="BH9" s="108"/>
      <c r="BI9" s="108"/>
      <c r="BJ9" s="108"/>
      <c r="BK9" s="108"/>
      <c r="BL9" s="108"/>
      <c r="BM9" s="108"/>
      <c r="BN9" s="108"/>
      <c r="BO9" s="108"/>
      <c r="BP9" s="108"/>
      <c r="BQ9" s="108"/>
      <c r="BR9" s="108"/>
      <c r="BS9" s="108"/>
      <c r="BT9" s="108"/>
      <c r="BU9" s="108"/>
      <c r="BV9" s="108"/>
      <c r="BW9" s="108"/>
      <c r="BX9" s="108"/>
      <c r="BY9" s="109"/>
      <c r="BZ9" s="109"/>
      <c r="CA9" s="110"/>
      <c r="CB9" s="92" t="s">
        <v>8</v>
      </c>
      <c r="CC9" s="111"/>
      <c r="CD9" s="111"/>
      <c r="CE9" s="111"/>
      <c r="CF9" s="111"/>
      <c r="CG9" s="111"/>
      <c r="CH9" s="111"/>
      <c r="CI9" s="108"/>
      <c r="CJ9" s="108"/>
      <c r="CK9" s="108"/>
      <c r="CL9" s="108"/>
      <c r="CM9" s="108"/>
      <c r="CN9" s="112"/>
      <c r="CO9" s="133"/>
      <c r="CP9" s="131"/>
      <c r="CQ9" s="121"/>
      <c r="CR9" s="121"/>
      <c r="CS9" s="121"/>
      <c r="CT9" s="121"/>
      <c r="CU9" s="121"/>
      <c r="CV9" s="121"/>
      <c r="CW9" s="121"/>
      <c r="CX9" s="121"/>
      <c r="CY9" s="121"/>
      <c r="CZ9" s="121"/>
      <c r="DA9" s="121"/>
      <c r="DB9" s="121"/>
      <c r="DC9" s="121"/>
      <c r="DD9" s="121"/>
      <c r="DE9" s="121"/>
      <c r="DF9" s="121"/>
      <c r="DG9" s="121"/>
      <c r="DH9" s="121"/>
      <c r="DI9" s="121"/>
      <c r="DJ9" s="121"/>
      <c r="DK9" s="121"/>
      <c r="DL9" s="121"/>
      <c r="DM9" s="121"/>
      <c r="DN9" s="121"/>
      <c r="DO9" s="133"/>
    </row>
    <row r="10" spans="1:119" ht="27" thickBot="1" x14ac:dyDescent="0.3">
      <c r="A10" s="131"/>
      <c r="B10" s="121"/>
      <c r="C10" s="121"/>
      <c r="D10" s="121"/>
      <c r="E10" s="121"/>
      <c r="F10" s="121"/>
      <c r="G10" s="121"/>
      <c r="H10" s="121"/>
      <c r="I10" s="121"/>
      <c r="J10" s="121"/>
      <c r="K10" s="121"/>
      <c r="L10" s="121"/>
      <c r="M10" s="121"/>
      <c r="N10" s="121"/>
      <c r="O10" s="121"/>
      <c r="P10" s="121"/>
      <c r="Q10" s="121"/>
      <c r="R10" s="121"/>
      <c r="S10" s="121"/>
      <c r="T10" s="121"/>
      <c r="U10" s="121"/>
      <c r="V10" s="121"/>
      <c r="W10" s="121"/>
      <c r="X10" s="121"/>
      <c r="Y10" s="121"/>
      <c r="Z10" s="121"/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21"/>
      <c r="AL10" s="121"/>
      <c r="AM10" s="121"/>
      <c r="AN10" s="121"/>
      <c r="AO10" s="121"/>
      <c r="AP10" s="388" t="s">
        <v>46</v>
      </c>
      <c r="AQ10" s="435" t="s">
        <v>4</v>
      </c>
      <c r="AR10" s="435"/>
      <c r="AS10" s="435"/>
      <c r="AT10" s="435"/>
      <c r="AU10" s="435"/>
      <c r="AV10" s="435"/>
      <c r="AW10" s="435"/>
      <c r="AX10" s="436"/>
      <c r="AY10" s="355">
        <f>AY8-AY9</f>
        <v>11656104</v>
      </c>
      <c r="AZ10" s="211" t="s">
        <v>78</v>
      </c>
      <c r="BA10" s="229" t="s">
        <v>5</v>
      </c>
      <c r="BB10" s="108"/>
      <c r="BC10" s="108"/>
      <c r="BD10" s="108"/>
      <c r="BE10" s="108"/>
      <c r="BF10" s="108"/>
      <c r="BG10" s="108"/>
      <c r="BH10" s="108"/>
      <c r="BI10" s="108"/>
      <c r="BJ10" s="108"/>
      <c r="BK10" s="108"/>
      <c r="BL10" s="108"/>
      <c r="BM10" s="108"/>
      <c r="BN10" s="108"/>
      <c r="BO10" s="108"/>
      <c r="BP10" s="108"/>
      <c r="BQ10" s="108"/>
      <c r="BR10" s="108"/>
      <c r="BS10" s="108"/>
      <c r="BT10" s="108"/>
      <c r="BU10" s="108"/>
      <c r="BV10" s="108"/>
      <c r="BW10" s="108"/>
      <c r="BX10" s="108"/>
      <c r="BY10" s="109"/>
      <c r="BZ10" s="109"/>
      <c r="CA10" s="110"/>
      <c r="CB10" s="92" t="s">
        <v>10</v>
      </c>
      <c r="CC10" s="111"/>
      <c r="CD10" s="111"/>
      <c r="CE10" s="111"/>
      <c r="CF10" s="111"/>
      <c r="CG10" s="111"/>
      <c r="CH10" s="111"/>
      <c r="CI10" s="108"/>
      <c r="CJ10" s="108"/>
      <c r="CK10" s="108"/>
      <c r="CL10" s="108"/>
      <c r="CM10" s="108"/>
      <c r="CN10" s="112"/>
      <c r="CO10" s="133"/>
      <c r="CP10" s="131"/>
      <c r="CQ10" s="121"/>
      <c r="CR10" s="121"/>
      <c r="CS10" s="121"/>
      <c r="CT10" s="121"/>
      <c r="CU10" s="121"/>
      <c r="CV10" s="121"/>
      <c r="CW10" s="121"/>
      <c r="CX10" s="121"/>
      <c r="CY10" s="121"/>
      <c r="CZ10" s="234">
        <f>A53</f>
        <v>27</v>
      </c>
      <c r="DA10" s="121"/>
      <c r="DB10" s="121"/>
      <c r="DC10" s="121"/>
      <c r="DD10" s="121"/>
      <c r="DE10" s="121"/>
      <c r="DF10" s="121"/>
      <c r="DG10" s="121"/>
      <c r="DH10" s="121"/>
      <c r="DI10" s="121"/>
      <c r="DJ10" s="121"/>
      <c r="DK10" s="121"/>
      <c r="DL10" s="121"/>
      <c r="DM10" s="121"/>
      <c r="DN10" s="121"/>
      <c r="DO10" s="133"/>
    </row>
    <row r="11" spans="1:119" ht="27" thickBot="1" x14ac:dyDescent="0.3">
      <c r="A11" s="13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121"/>
      <c r="Q11" s="121"/>
      <c r="R11" s="121"/>
      <c r="S11" s="121"/>
      <c r="T11" s="121"/>
      <c r="U11" s="121"/>
      <c r="V11" s="121"/>
      <c r="W11" s="121"/>
      <c r="X11" s="121"/>
      <c r="Y11" s="121"/>
      <c r="Z11" s="121"/>
      <c r="AA11" s="121"/>
      <c r="AB11" s="121"/>
      <c r="AC11" s="121"/>
      <c r="AD11" s="121"/>
      <c r="AE11" s="121"/>
      <c r="AF11" s="121"/>
      <c r="AG11" s="121"/>
      <c r="AH11" s="121"/>
      <c r="AI11" s="121"/>
      <c r="AJ11" s="121"/>
      <c r="AK11" s="121"/>
      <c r="AL11" s="121"/>
      <c r="AM11" s="121"/>
      <c r="AN11" s="121"/>
      <c r="AO11" s="121"/>
      <c r="AP11" s="389">
        <v>1</v>
      </c>
      <c r="AQ11" s="395" t="s">
        <v>6</v>
      </c>
      <c r="AR11" s="395"/>
      <c r="AS11" s="395"/>
      <c r="AT11" s="395"/>
      <c r="AU11" s="395"/>
      <c r="AV11" s="395"/>
      <c r="AW11" s="395"/>
      <c r="AX11" s="396"/>
      <c r="AY11" s="355">
        <f>AY10*0.33</f>
        <v>3846514.3200000003</v>
      </c>
      <c r="AZ11" s="211" t="s">
        <v>78</v>
      </c>
      <c r="BA11" s="230">
        <f>A53</f>
        <v>27</v>
      </c>
      <c r="BB11" s="121"/>
      <c r="BC11" s="121"/>
      <c r="BD11" s="121"/>
      <c r="BE11" s="121"/>
      <c r="BF11" s="121"/>
      <c r="BG11" s="121"/>
      <c r="BH11" s="121"/>
      <c r="BI11" s="121"/>
      <c r="BJ11" s="121"/>
      <c r="BK11" s="121"/>
      <c r="BL11" s="121"/>
      <c r="BM11" s="121"/>
      <c r="BN11" s="121"/>
      <c r="BO11" s="121"/>
      <c r="BP11" s="121"/>
      <c r="BQ11" s="121"/>
      <c r="BR11" s="121"/>
      <c r="BS11" s="121"/>
      <c r="BT11" s="121"/>
      <c r="BU11" s="121"/>
      <c r="BV11" s="121"/>
      <c r="BW11" s="121"/>
      <c r="BX11" s="121"/>
      <c r="BY11" s="122"/>
      <c r="BZ11" s="122"/>
      <c r="CA11" s="123"/>
      <c r="CB11" s="124"/>
      <c r="CC11" s="124"/>
      <c r="CD11" s="124"/>
      <c r="CE11" s="124"/>
      <c r="CF11" s="124"/>
      <c r="CG11" s="124"/>
      <c r="CH11" s="124"/>
      <c r="CI11" s="121"/>
      <c r="CJ11" s="121"/>
      <c r="CK11" s="121"/>
      <c r="CL11" s="121"/>
      <c r="CM11" s="121"/>
      <c r="CN11" s="121"/>
      <c r="CO11" s="133"/>
      <c r="CP11" s="131"/>
      <c r="CQ11" s="121"/>
      <c r="CR11" s="121"/>
      <c r="CS11" s="121"/>
      <c r="CT11" s="121"/>
      <c r="CU11" s="121"/>
      <c r="CV11" s="121"/>
      <c r="CW11" s="121"/>
      <c r="CX11" s="121"/>
      <c r="CY11" s="121"/>
      <c r="CZ11" s="235">
        <v>104</v>
      </c>
      <c r="DA11" s="235">
        <v>105</v>
      </c>
      <c r="DB11" s="235">
        <v>106</v>
      </c>
      <c r="DC11" s="235">
        <v>107</v>
      </c>
      <c r="DD11" s="235">
        <v>108</v>
      </c>
      <c r="DE11" s="235">
        <v>109</v>
      </c>
      <c r="DF11" s="235">
        <v>110</v>
      </c>
      <c r="DG11" s="235">
        <v>111</v>
      </c>
      <c r="DH11" s="235">
        <v>112</v>
      </c>
      <c r="DI11" s="235">
        <v>113</v>
      </c>
      <c r="DJ11" s="235">
        <v>114</v>
      </c>
      <c r="DK11" s="235">
        <v>115</v>
      </c>
      <c r="DL11" s="235">
        <v>116</v>
      </c>
      <c r="DM11" s="235">
        <v>117</v>
      </c>
      <c r="DN11" s="235">
        <v>118</v>
      </c>
      <c r="DO11" s="235">
        <v>119</v>
      </c>
    </row>
    <row r="12" spans="1:119" ht="12.95" customHeight="1" thickBot="1" x14ac:dyDescent="0.3">
      <c r="A12" s="13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381">
        <v>33</v>
      </c>
      <c r="AH12" s="381">
        <v>34</v>
      </c>
      <c r="AI12" s="381">
        <v>35</v>
      </c>
      <c r="AJ12" s="381">
        <v>36</v>
      </c>
      <c r="AK12" s="381">
        <v>37</v>
      </c>
      <c r="AL12" s="381">
        <v>38</v>
      </c>
      <c r="AM12" s="381">
        <v>39</v>
      </c>
      <c r="AN12" s="381">
        <v>40</v>
      </c>
      <c r="AO12" s="121"/>
      <c r="AP12" s="236"/>
      <c r="AQ12" s="121"/>
      <c r="AR12" s="121"/>
      <c r="AS12" s="121"/>
      <c r="AT12" s="121"/>
      <c r="AU12" s="385">
        <v>47</v>
      </c>
      <c r="AV12" s="386">
        <v>48</v>
      </c>
      <c r="AW12" s="385">
        <v>49</v>
      </c>
      <c r="AX12" s="386">
        <v>50</v>
      </c>
      <c r="AY12" s="386">
        <v>51</v>
      </c>
      <c r="AZ12" s="386">
        <v>52</v>
      </c>
      <c r="BA12" s="385">
        <v>53</v>
      </c>
      <c r="BB12" s="385">
        <v>54</v>
      </c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2"/>
      <c r="BZ12" s="122"/>
      <c r="CA12" s="123"/>
      <c r="CB12" s="124"/>
      <c r="CC12" s="124"/>
      <c r="CD12" s="124"/>
      <c r="CE12" s="124"/>
      <c r="CF12" s="124"/>
      <c r="CG12" s="124"/>
      <c r="CH12" s="124"/>
      <c r="CI12" s="121"/>
      <c r="CJ12" s="121"/>
      <c r="CK12" s="121"/>
      <c r="CL12" s="121"/>
      <c r="CM12" s="121"/>
      <c r="CN12" s="121"/>
      <c r="CO12" s="133"/>
      <c r="CP12" s="131"/>
      <c r="CQ12" s="121"/>
      <c r="CR12" s="121"/>
      <c r="CS12" s="121"/>
      <c r="CT12" s="121"/>
      <c r="CU12" s="121"/>
      <c r="CV12" s="121"/>
      <c r="CW12" s="121"/>
      <c r="CX12" s="121"/>
      <c r="CY12" s="392" t="s">
        <v>148</v>
      </c>
      <c r="CZ12" s="393"/>
      <c r="DA12" s="393"/>
      <c r="DB12" s="393"/>
      <c r="DC12" s="393"/>
      <c r="DD12" s="393"/>
      <c r="DE12" s="393"/>
      <c r="DF12" s="393"/>
      <c r="DG12" s="393"/>
      <c r="DH12" s="393"/>
      <c r="DI12" s="393"/>
      <c r="DJ12" s="393"/>
      <c r="DK12" s="393"/>
      <c r="DL12" s="394"/>
      <c r="DM12" s="121"/>
      <c r="DN12" s="121"/>
      <c r="DO12" s="133"/>
    </row>
    <row r="13" spans="1:119" ht="15.75" customHeight="1" thickBot="1" x14ac:dyDescent="0.3">
      <c r="A13" s="131"/>
      <c r="B13" s="121"/>
      <c r="C13" s="121"/>
      <c r="D13" s="121"/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425" t="s">
        <v>202</v>
      </c>
      <c r="AF13" s="426"/>
      <c r="AG13" s="426"/>
      <c r="AH13" s="427"/>
      <c r="AI13" s="427"/>
      <c r="AJ13" s="427"/>
      <c r="AK13" s="428"/>
      <c r="AL13" s="382"/>
      <c r="AM13" s="383"/>
      <c r="AN13" s="384"/>
      <c r="AO13" s="121"/>
      <c r="AP13" s="236"/>
      <c r="AQ13" s="400" t="s">
        <v>9</v>
      </c>
      <c r="AR13" s="401"/>
      <c r="AS13" s="401"/>
      <c r="AT13" s="401"/>
      <c r="AU13" s="401"/>
      <c r="AV13" s="401"/>
      <c r="AW13" s="401"/>
      <c r="AX13" s="401"/>
      <c r="AY13" s="401"/>
      <c r="AZ13" s="401"/>
      <c r="BA13" s="401"/>
      <c r="BB13" s="402"/>
      <c r="BC13" s="125"/>
      <c r="BD13" s="125"/>
      <c r="BE13" s="125"/>
      <c r="BF13" s="125"/>
      <c r="BG13" s="125"/>
      <c r="BH13" s="125"/>
      <c r="BI13" s="125"/>
      <c r="BJ13" s="125"/>
      <c r="BK13" s="125"/>
      <c r="BL13" s="125"/>
      <c r="BM13" s="125"/>
      <c r="BN13" s="125"/>
      <c r="BO13" s="125"/>
      <c r="BP13" s="125"/>
      <c r="BQ13" s="125"/>
      <c r="BR13" s="125"/>
      <c r="BS13" s="125"/>
      <c r="BT13" s="125"/>
      <c r="BU13" s="125"/>
      <c r="BV13" s="125"/>
      <c r="BW13" s="125"/>
      <c r="BX13" s="125"/>
      <c r="BY13" s="403" t="s">
        <v>205</v>
      </c>
      <c r="BZ13" s="404"/>
      <c r="CA13" s="404"/>
      <c r="CB13" s="404"/>
      <c r="CC13" s="404"/>
      <c r="CD13" s="404"/>
      <c r="CE13" s="404"/>
      <c r="CF13" s="404"/>
      <c r="CG13" s="404"/>
      <c r="CH13" s="404"/>
      <c r="CI13" s="404"/>
      <c r="CJ13" s="404"/>
      <c r="CK13" s="404"/>
      <c r="CL13" s="404"/>
      <c r="CM13" s="404"/>
      <c r="CN13" s="404"/>
      <c r="CO13" s="405"/>
      <c r="CP13" s="131"/>
      <c r="CQ13" s="121"/>
      <c r="CR13" s="121"/>
      <c r="CS13" s="121"/>
      <c r="CT13" s="121"/>
      <c r="CU13" s="121"/>
      <c r="CV13" s="121"/>
      <c r="CW13" s="121"/>
      <c r="CX13" s="121"/>
      <c r="CY13" s="217">
        <v>1</v>
      </c>
      <c r="CZ13" s="218">
        <v>2</v>
      </c>
      <c r="DA13" s="218">
        <v>3</v>
      </c>
      <c r="DB13" s="218">
        <v>4</v>
      </c>
      <c r="DC13" s="218">
        <v>5</v>
      </c>
      <c r="DD13" s="218">
        <v>6</v>
      </c>
      <c r="DE13" s="218">
        <v>7</v>
      </c>
      <c r="DF13" s="218">
        <v>8</v>
      </c>
      <c r="DG13" s="218">
        <v>9</v>
      </c>
      <c r="DH13" s="218">
        <v>10</v>
      </c>
      <c r="DI13" s="218">
        <v>11</v>
      </c>
      <c r="DJ13" s="218">
        <v>12</v>
      </c>
      <c r="DK13" s="218">
        <v>13</v>
      </c>
      <c r="DL13" s="219">
        <v>14</v>
      </c>
      <c r="DM13" s="220">
        <v>15</v>
      </c>
      <c r="DN13" s="121"/>
      <c r="DO13" s="133"/>
    </row>
    <row r="14" spans="1:119" ht="51" customHeight="1" thickBot="1" x14ac:dyDescent="0.3">
      <c r="A14" s="134"/>
      <c r="B14" s="135"/>
      <c r="C14" s="135"/>
      <c r="D14" s="135"/>
      <c r="E14" s="135"/>
      <c r="F14" s="135"/>
      <c r="G14" s="135"/>
      <c r="H14" s="135"/>
      <c r="I14" s="135"/>
      <c r="J14" s="135"/>
      <c r="K14" s="135"/>
      <c r="L14" s="135"/>
      <c r="M14" s="135"/>
      <c r="N14" s="135"/>
      <c r="O14" s="135"/>
      <c r="P14" s="135"/>
      <c r="Q14" s="135"/>
      <c r="R14" s="135"/>
      <c r="S14" s="135"/>
      <c r="T14" s="135"/>
      <c r="U14" s="135"/>
      <c r="V14" s="135"/>
      <c r="W14" s="135"/>
      <c r="X14" s="135"/>
      <c r="Y14" s="135"/>
      <c r="Z14" s="135"/>
      <c r="AA14" s="135"/>
      <c r="AB14" s="135"/>
      <c r="AC14" s="135"/>
      <c r="AD14" s="135"/>
      <c r="AE14" s="233"/>
      <c r="AF14" s="364"/>
      <c r="AG14" s="89" t="s">
        <v>15</v>
      </c>
      <c r="AH14" s="366" t="s">
        <v>250</v>
      </c>
      <c r="AI14" s="90" t="s">
        <v>13</v>
      </c>
      <c r="AJ14" s="91" t="s">
        <v>14</v>
      </c>
      <c r="AK14" s="157" t="s">
        <v>16</v>
      </c>
      <c r="AL14" s="150" t="s">
        <v>17</v>
      </c>
      <c r="AM14" s="150" t="s">
        <v>18</v>
      </c>
      <c r="AN14" s="150" t="s">
        <v>19</v>
      </c>
      <c r="AO14" s="390">
        <v>41</v>
      </c>
      <c r="AP14" s="387">
        <v>42</v>
      </c>
      <c r="AQ14" s="89" t="s">
        <v>11</v>
      </c>
      <c r="AR14" s="397" t="s">
        <v>12</v>
      </c>
      <c r="AS14" s="398"/>
      <c r="AT14" s="399"/>
      <c r="AU14" s="90" t="s">
        <v>13</v>
      </c>
      <c r="AV14" s="91" t="s">
        <v>14</v>
      </c>
      <c r="AW14" s="89" t="s">
        <v>15</v>
      </c>
      <c r="AX14" s="157" t="s">
        <v>16</v>
      </c>
      <c r="AY14" s="150" t="s">
        <v>17</v>
      </c>
      <c r="AZ14" s="150" t="s">
        <v>18</v>
      </c>
      <c r="BA14" s="150" t="s">
        <v>19</v>
      </c>
      <c r="BB14" s="358" t="s">
        <v>245</v>
      </c>
      <c r="BC14" s="136"/>
      <c r="BD14" s="136"/>
      <c r="BE14" s="136"/>
      <c r="BF14" s="136"/>
      <c r="BG14" s="136"/>
      <c r="BH14" s="136"/>
      <c r="BI14" s="136"/>
      <c r="BJ14" s="136"/>
      <c r="BK14" s="136"/>
      <c r="BL14" s="136"/>
      <c r="BM14" s="136"/>
      <c r="BN14" s="136"/>
      <c r="BO14" s="136"/>
      <c r="BP14" s="136"/>
      <c r="BQ14" s="136"/>
      <c r="BR14" s="136"/>
      <c r="BS14" s="136"/>
      <c r="BT14" s="136"/>
      <c r="BU14" s="136"/>
      <c r="BV14" s="136"/>
      <c r="BW14" s="136"/>
      <c r="BX14" s="136"/>
      <c r="BY14" s="231" t="s">
        <v>15</v>
      </c>
      <c r="BZ14" s="232" t="s">
        <v>16</v>
      </c>
      <c r="CA14" s="297" t="s">
        <v>233</v>
      </c>
      <c r="CB14" s="114" t="s">
        <v>237</v>
      </c>
      <c r="CC14" s="115" t="s">
        <v>236</v>
      </c>
      <c r="CD14" s="274" t="s">
        <v>243</v>
      </c>
      <c r="CE14" s="113" t="s">
        <v>241</v>
      </c>
      <c r="CF14" s="274" t="s">
        <v>231</v>
      </c>
      <c r="CG14" s="332" t="s">
        <v>234</v>
      </c>
      <c r="CH14" s="332" t="s">
        <v>235</v>
      </c>
      <c r="CI14" s="333" t="s">
        <v>239</v>
      </c>
      <c r="CJ14" s="334" t="s">
        <v>244</v>
      </c>
      <c r="CK14" s="334" t="s">
        <v>238</v>
      </c>
      <c r="CL14" s="335" t="s">
        <v>232</v>
      </c>
      <c r="CM14" s="298" t="s">
        <v>230</v>
      </c>
      <c r="CN14" s="135"/>
      <c r="CO14" s="333" t="s">
        <v>240</v>
      </c>
      <c r="CP14" s="358" t="s">
        <v>245</v>
      </c>
      <c r="CQ14" s="135"/>
      <c r="CR14" s="135"/>
      <c r="CS14" s="135"/>
      <c r="CT14" s="135"/>
      <c r="CU14" s="135"/>
      <c r="CV14" s="135" t="s">
        <v>219</v>
      </c>
      <c r="CW14" s="135"/>
      <c r="CX14" s="135"/>
      <c r="CY14" s="208" t="s">
        <v>11</v>
      </c>
      <c r="CZ14" s="210" t="s">
        <v>146</v>
      </c>
      <c r="DA14" s="210" t="s">
        <v>76</v>
      </c>
      <c r="DB14" s="210" t="s">
        <v>77</v>
      </c>
      <c r="DC14" s="223" t="s">
        <v>167</v>
      </c>
      <c r="DD14" s="223" t="s">
        <v>151</v>
      </c>
      <c r="DE14" s="210" t="s">
        <v>149</v>
      </c>
      <c r="DF14" s="209" t="s">
        <v>150</v>
      </c>
      <c r="DG14" s="346" t="s">
        <v>4</v>
      </c>
      <c r="DH14" s="346" t="s">
        <v>6</v>
      </c>
      <c r="DI14" s="209" t="s">
        <v>136</v>
      </c>
      <c r="DJ14" s="209" t="s">
        <v>137</v>
      </c>
      <c r="DK14" s="209" t="s">
        <v>147</v>
      </c>
      <c r="DL14" s="216" t="s">
        <v>162</v>
      </c>
      <c r="DM14" s="264" t="s">
        <v>224</v>
      </c>
      <c r="DN14" s="236"/>
      <c r="DO14" s="237"/>
    </row>
    <row r="15" spans="1:119" ht="27" customHeight="1" thickBot="1" x14ac:dyDescent="0.3">
      <c r="AE15" s="212">
        <v>1</v>
      </c>
      <c r="AF15" s="367" t="s">
        <v>22</v>
      </c>
      <c r="AG15" s="380" t="s">
        <v>46</v>
      </c>
      <c r="AH15" s="365" t="s">
        <v>74</v>
      </c>
      <c r="AI15" s="365" t="s">
        <v>75</v>
      </c>
      <c r="AJ15" s="365">
        <v>30</v>
      </c>
      <c r="AK15" s="365">
        <v>2.4</v>
      </c>
      <c r="AL15" s="365">
        <v>92316.343680000005</v>
      </c>
      <c r="AM15" s="365">
        <v>310.18291476480005</v>
      </c>
      <c r="AN15" s="376">
        <v>38.772864345600006</v>
      </c>
      <c r="AO15">
        <v>1</v>
      </c>
      <c r="AQ15" s="269" t="s">
        <v>20</v>
      </c>
      <c r="AR15" s="138"/>
      <c r="AS15" s="138"/>
      <c r="AT15" s="138"/>
      <c r="AU15" s="138" t="s">
        <v>13</v>
      </c>
      <c r="AV15" s="138"/>
      <c r="AW15" s="138"/>
      <c r="AX15" s="138"/>
      <c r="AY15" s="138"/>
      <c r="AZ15" s="138"/>
      <c r="BA15" s="270"/>
      <c r="BB15" s="93"/>
      <c r="BC15" s="93"/>
      <c r="BD15" s="93"/>
      <c r="BE15" s="93"/>
      <c r="BF15" s="93"/>
      <c r="BG15" s="93"/>
      <c r="BH15" s="93"/>
      <c r="BI15" s="93"/>
      <c r="BJ15" s="93"/>
      <c r="BK15" s="93"/>
      <c r="BL15" s="93"/>
      <c r="BM15" s="93"/>
      <c r="BN15" s="93"/>
      <c r="BO15" s="93"/>
      <c r="BP15" s="93"/>
      <c r="BQ15" s="93"/>
      <c r="BR15" s="93"/>
      <c r="BS15" s="93"/>
      <c r="BT15" s="93"/>
      <c r="BU15" s="93"/>
      <c r="BV15" s="93"/>
      <c r="BW15" s="93"/>
      <c r="BX15" s="93">
        <v>1</v>
      </c>
      <c r="BY15" s="197" t="s">
        <v>22</v>
      </c>
      <c r="BZ15" s="23">
        <f t="shared" ref="BZ15:BZ33" si="0">SUMIF($AW$16:$AW$102,BY15,$AX$16:$AX$102)</f>
        <v>4.3</v>
      </c>
      <c r="CA15" s="24">
        <f t="shared" ref="CA15:CA33" si="1">$AY$11*BZ15/100</f>
        <v>165400.11576000002</v>
      </c>
      <c r="CB15" s="25">
        <f>CA15/(CL15*CP15)</f>
        <v>277.87219447680008</v>
      </c>
      <c r="CC15" s="26">
        <f>CE15*8</f>
        <v>240</v>
      </c>
      <c r="CD15" s="275">
        <f t="shared" ref="CD15:CD33" si="2">CB15/8</f>
        <v>34.734024309600009</v>
      </c>
      <c r="CE15" s="343">
        <v>30</v>
      </c>
      <c r="CF15" s="275">
        <f>(CB15-CC15)</f>
        <v>37.872194476800075</v>
      </c>
      <c r="CG15" s="302">
        <f t="shared" ref="CG15:CG20" si="3">CA15</f>
        <v>165400.11576000002</v>
      </c>
      <c r="CH15" s="303">
        <f t="shared" ref="CH15:CH20" si="4">(CC15*CL15)</f>
        <v>142857.14285714284</v>
      </c>
      <c r="CI15" s="304">
        <f t="shared" ref="CI15:CI34" si="5">(CF15*CL15)</f>
        <v>22542.972902857186</v>
      </c>
      <c r="CJ15" s="329">
        <v>30</v>
      </c>
      <c r="CK15" s="323">
        <f>(CI15/100)*CJ15</f>
        <v>6762.8918708571555</v>
      </c>
      <c r="CL15" s="301">
        <f>(CM15/21)/8</f>
        <v>595.23809523809518</v>
      </c>
      <c r="CM15" s="339">
        <v>100000</v>
      </c>
      <c r="CO15" s="331">
        <f>CI15-CK15</f>
        <v>15780.081032000031</v>
      </c>
      <c r="CP15" s="359">
        <v>1</v>
      </c>
      <c r="CV15" s="206" t="s">
        <v>138</v>
      </c>
      <c r="CY15" s="212">
        <v>1</v>
      </c>
      <c r="CZ15" s="212" t="s">
        <v>222</v>
      </c>
      <c r="DA15" s="212" t="s">
        <v>208</v>
      </c>
      <c r="DB15" s="214" t="s">
        <v>209</v>
      </c>
      <c r="DC15" s="212" t="s">
        <v>168</v>
      </c>
      <c r="DD15" s="215" t="s">
        <v>153</v>
      </c>
      <c r="DE15" s="349">
        <v>15588777</v>
      </c>
      <c r="DF15" s="349">
        <v>393189</v>
      </c>
      <c r="DG15" s="349">
        <f t="shared" ref="DG15" si="6">DE15-DF15</f>
        <v>15195588</v>
      </c>
      <c r="DH15" s="349">
        <f t="shared" ref="DH15" si="7">DG15*0.33</f>
        <v>5014544.04</v>
      </c>
      <c r="DI15" s="206"/>
      <c r="DJ15" s="206"/>
      <c r="DK15" s="206"/>
      <c r="DL15" s="206" t="s">
        <v>138</v>
      </c>
      <c r="DM15" s="265" t="s">
        <v>248</v>
      </c>
      <c r="DN15" s="103"/>
      <c r="DO15" s="103"/>
    </row>
    <row r="16" spans="1:119" ht="26.25" customHeight="1" thickBot="1" x14ac:dyDescent="0.3">
      <c r="AE16" s="213">
        <v>2</v>
      </c>
      <c r="AF16" s="368" t="s">
        <v>23</v>
      </c>
      <c r="AG16" s="375"/>
      <c r="AH16" s="204"/>
      <c r="AI16" s="204"/>
      <c r="AJ16" s="204"/>
      <c r="AK16" s="204"/>
      <c r="AL16" s="204"/>
      <c r="AM16" s="204"/>
      <c r="AN16" s="377"/>
      <c r="AO16">
        <v>2</v>
      </c>
      <c r="AP16" s="361" t="s">
        <v>20</v>
      </c>
      <c r="AQ16" s="58">
        <v>1</v>
      </c>
      <c r="AR16" s="242">
        <v>6</v>
      </c>
      <c r="AS16" s="151"/>
      <c r="AT16" s="152"/>
      <c r="AU16" s="238" t="s">
        <v>21</v>
      </c>
      <c r="AV16" s="3">
        <v>5</v>
      </c>
      <c r="AW16" s="159" t="s">
        <v>22</v>
      </c>
      <c r="AX16" s="4">
        <f t="shared" ref="AX16:AX24" si="8">$AR$16*AV16/100</f>
        <v>0.3</v>
      </c>
      <c r="AY16" s="5">
        <f t="shared" ref="AY16:AY79" si="9">$AY$11*AX16/100</f>
        <v>11539.542960000001</v>
      </c>
      <c r="AZ16" s="6">
        <f>AY16/(CL15*BB16)</f>
        <v>19.386432172800003</v>
      </c>
      <c r="BA16" s="292">
        <f>AZ16/8</f>
        <v>2.4233040216000004</v>
      </c>
      <c r="BB16" s="32">
        <v>1</v>
      </c>
      <c r="BC16" s="94"/>
      <c r="BD16" s="94"/>
      <c r="BE16" s="94"/>
      <c r="BF16" s="94"/>
      <c r="BG16" s="94"/>
      <c r="BH16" s="94"/>
      <c r="BI16" s="94"/>
      <c r="BJ16" s="94"/>
      <c r="BK16" s="94"/>
      <c r="BL16" s="94"/>
      <c r="BM16" s="94"/>
      <c r="BN16" s="94"/>
      <c r="BO16" s="94"/>
      <c r="BP16" s="94"/>
      <c r="BQ16" s="94"/>
      <c r="BR16" s="94"/>
      <c r="BS16" s="94"/>
      <c r="BT16" s="94"/>
      <c r="BU16" s="94"/>
      <c r="BV16" s="94"/>
      <c r="BW16" s="94"/>
      <c r="BX16" s="94">
        <v>2</v>
      </c>
      <c r="BY16" s="198" t="s">
        <v>23</v>
      </c>
      <c r="BZ16" s="30">
        <f t="shared" si="0"/>
        <v>1.85</v>
      </c>
      <c r="CA16" s="31">
        <f t="shared" si="1"/>
        <v>71160.514920000001</v>
      </c>
      <c r="CB16" s="25">
        <f>CA16/(CL16*CP16)</f>
        <v>149.43708133199999</v>
      </c>
      <c r="CC16" s="26">
        <f t="shared" ref="CC16:CC34" si="10">CE16*8</f>
        <v>160</v>
      </c>
      <c r="CD16" s="276">
        <f t="shared" si="2"/>
        <v>18.679635166499999</v>
      </c>
      <c r="CE16" s="344">
        <v>20</v>
      </c>
      <c r="CF16" s="276">
        <f t="shared" ref="CF16:CF34" si="11">(CB16-CC16)</f>
        <v>-10.562918668000009</v>
      </c>
      <c r="CG16" s="302">
        <f t="shared" si="3"/>
        <v>71160.514920000001</v>
      </c>
      <c r="CH16" s="303">
        <f t="shared" si="4"/>
        <v>76190.476190476198</v>
      </c>
      <c r="CI16" s="305">
        <f t="shared" si="5"/>
        <v>-5029.9612704761948</v>
      </c>
      <c r="CJ16" s="330">
        <v>30</v>
      </c>
      <c r="CK16" s="324">
        <f t="shared" ref="CK16:CK35" si="12">(CI16/100)*CJ16</f>
        <v>-1508.9883811428585</v>
      </c>
      <c r="CL16" s="299">
        <f t="shared" ref="CL16:CL33" si="13">(CM16/21)/8</f>
        <v>476.1904761904762</v>
      </c>
      <c r="CM16" s="339">
        <v>80000</v>
      </c>
      <c r="CO16" s="331">
        <f t="shared" ref="CO16:CO34" si="14">CI16-CK16</f>
        <v>-3520.9728893333363</v>
      </c>
      <c r="CP16" s="359">
        <v>1</v>
      </c>
      <c r="CV16" s="207" t="s">
        <v>164</v>
      </c>
      <c r="CY16" s="213">
        <v>2</v>
      </c>
      <c r="CZ16" s="212" t="s">
        <v>207</v>
      </c>
      <c r="DA16" s="212" t="s">
        <v>210</v>
      </c>
      <c r="DB16" s="214" t="s">
        <v>211</v>
      </c>
      <c r="DC16" s="212" t="s">
        <v>169</v>
      </c>
      <c r="DD16" s="215" t="s">
        <v>155</v>
      </c>
      <c r="DE16" s="356">
        <v>20588000</v>
      </c>
      <c r="DF16" s="349">
        <v>5931897</v>
      </c>
      <c r="DG16" s="349">
        <f t="shared" ref="DG16" si="15">DE16-DF16</f>
        <v>14656103</v>
      </c>
      <c r="DH16" s="349">
        <f t="shared" ref="DH16" si="16">DG16*0.33</f>
        <v>4836513.99</v>
      </c>
      <c r="DI16" s="207"/>
      <c r="DJ16" s="207"/>
      <c r="DK16" s="207"/>
      <c r="DL16" s="207" t="s">
        <v>164</v>
      </c>
      <c r="DM16" s="265" t="s">
        <v>249</v>
      </c>
      <c r="DN16" s="103"/>
      <c r="DO16" s="103"/>
    </row>
    <row r="17" spans="31:119" ht="24" customHeight="1" thickBot="1" x14ac:dyDescent="0.3">
      <c r="AE17" s="213">
        <v>3</v>
      </c>
      <c r="AF17" s="368" t="s">
        <v>25</v>
      </c>
      <c r="AG17" s="375"/>
      <c r="AH17" s="204"/>
      <c r="AI17" s="204"/>
      <c r="AJ17" s="204"/>
      <c r="AK17" s="204"/>
      <c r="AL17" s="204"/>
      <c r="AM17" s="204"/>
      <c r="AN17" s="377"/>
      <c r="AO17">
        <v>3</v>
      </c>
      <c r="AP17" s="361" t="s">
        <v>20</v>
      </c>
      <c r="AQ17" s="48"/>
      <c r="AR17" s="243"/>
      <c r="AS17" s="153"/>
      <c r="AT17" s="154"/>
      <c r="AU17" s="238" t="s">
        <v>21</v>
      </c>
      <c r="AV17" s="7">
        <v>10</v>
      </c>
      <c r="AW17" s="160" t="s">
        <v>23</v>
      </c>
      <c r="AX17" s="4">
        <f t="shared" si="8"/>
        <v>0.6</v>
      </c>
      <c r="AY17" s="5">
        <f t="shared" si="9"/>
        <v>23079.085920000001</v>
      </c>
      <c r="AZ17" s="6">
        <f>AY17/(CL16*BB17)</f>
        <v>48.466080431999998</v>
      </c>
      <c r="BA17" s="292">
        <f t="shared" ref="BA17:BA82" si="17">AZ17/8</f>
        <v>6.0582600539999998</v>
      </c>
      <c r="BB17" s="32">
        <v>1</v>
      </c>
      <c r="BC17" s="94"/>
      <c r="BD17" s="94"/>
      <c r="BE17" s="94"/>
      <c r="BF17" s="94"/>
      <c r="BG17" s="94"/>
      <c r="BH17" s="94"/>
      <c r="BI17" s="94"/>
      <c r="BJ17" s="94"/>
      <c r="BK17" s="94"/>
      <c r="BL17" s="94"/>
      <c r="BM17" s="94"/>
      <c r="BN17" s="94"/>
      <c r="BO17" s="94"/>
      <c r="BP17" s="94"/>
      <c r="BQ17" s="94"/>
      <c r="BR17" s="94"/>
      <c r="BS17" s="94"/>
      <c r="BT17" s="94"/>
      <c r="BU17" s="94"/>
      <c r="BV17" s="94"/>
      <c r="BW17" s="94"/>
      <c r="BX17" s="94">
        <v>3</v>
      </c>
      <c r="BY17" s="198" t="s">
        <v>25</v>
      </c>
      <c r="BZ17" s="30">
        <f t="shared" si="0"/>
        <v>7</v>
      </c>
      <c r="CA17" s="31">
        <f t="shared" si="1"/>
        <v>269256.0024</v>
      </c>
      <c r="CB17" s="25">
        <f>CA17/(CL17*CP17)</f>
        <v>646.21440575999998</v>
      </c>
      <c r="CC17" s="26">
        <f t="shared" si="10"/>
        <v>720</v>
      </c>
      <c r="CD17" s="276">
        <f t="shared" si="2"/>
        <v>80.776800719999997</v>
      </c>
      <c r="CE17" s="344">
        <v>90</v>
      </c>
      <c r="CF17" s="276">
        <f t="shared" si="11"/>
        <v>-73.785594240000023</v>
      </c>
      <c r="CG17" s="302">
        <f t="shared" si="3"/>
        <v>269256.0024</v>
      </c>
      <c r="CH17" s="303">
        <f t="shared" si="4"/>
        <v>300000</v>
      </c>
      <c r="CI17" s="305">
        <f t="shared" si="5"/>
        <v>-30743.99760000001</v>
      </c>
      <c r="CJ17" s="330">
        <v>30</v>
      </c>
      <c r="CK17" s="324">
        <f t="shared" si="12"/>
        <v>-9223.1992800000044</v>
      </c>
      <c r="CL17" s="299">
        <f t="shared" si="13"/>
        <v>416.66666666666669</v>
      </c>
      <c r="CM17" s="339">
        <v>70000</v>
      </c>
      <c r="CO17" s="331">
        <f>CI17-CK17</f>
        <v>-21520.798320000005</v>
      </c>
      <c r="CP17" s="359">
        <v>1</v>
      </c>
      <c r="CV17" s="207" t="s">
        <v>139</v>
      </c>
      <c r="CY17" s="213">
        <v>3</v>
      </c>
      <c r="CZ17" s="212" t="s">
        <v>212</v>
      </c>
      <c r="DA17" s="212" t="s">
        <v>203</v>
      </c>
      <c r="DB17" s="214" t="s">
        <v>213</v>
      </c>
      <c r="DC17" s="212" t="s">
        <v>170</v>
      </c>
      <c r="DD17" s="215" t="s">
        <v>157</v>
      </c>
      <c r="DE17" s="356">
        <v>20588000</v>
      </c>
      <c r="DF17" s="349">
        <v>5931855</v>
      </c>
      <c r="DG17" s="349">
        <f t="shared" ref="DG17:DG80" si="18">DE17-DF17</f>
        <v>14656145</v>
      </c>
      <c r="DH17" s="349">
        <f t="shared" ref="DH17:DH80" si="19">DG17*0.33</f>
        <v>4836527.8500000006</v>
      </c>
      <c r="DI17" s="207"/>
      <c r="DJ17" s="207"/>
      <c r="DK17" s="207"/>
      <c r="DL17" s="207" t="s">
        <v>139</v>
      </c>
      <c r="DM17" s="265" t="s">
        <v>242</v>
      </c>
      <c r="DN17" s="103"/>
      <c r="DO17" s="103"/>
    </row>
    <row r="18" spans="31:119" ht="30" customHeight="1" thickBot="1" x14ac:dyDescent="0.3">
      <c r="AE18" s="213">
        <v>4</v>
      </c>
      <c r="AF18" s="368" t="s">
        <v>26</v>
      </c>
      <c r="AG18" s="375"/>
      <c r="AH18" s="204"/>
      <c r="AI18" s="204"/>
      <c r="AJ18" s="204"/>
      <c r="AK18" s="204"/>
      <c r="AL18" s="204"/>
      <c r="AM18" s="204"/>
      <c r="AN18" s="377"/>
      <c r="AO18">
        <v>4</v>
      </c>
      <c r="AP18" s="361" t="s">
        <v>20</v>
      </c>
      <c r="AQ18" s="48"/>
      <c r="AR18" s="243"/>
      <c r="AS18" s="153"/>
      <c r="AT18" s="154"/>
      <c r="AU18" s="238" t="s">
        <v>228</v>
      </c>
      <c r="AV18" s="7">
        <v>5</v>
      </c>
      <c r="AW18" s="160" t="s">
        <v>24</v>
      </c>
      <c r="AX18" s="4">
        <f t="shared" si="8"/>
        <v>0.3</v>
      </c>
      <c r="AY18" s="5">
        <f t="shared" si="9"/>
        <v>11539.542960000001</v>
      </c>
      <c r="AZ18" s="6">
        <f>AY18/(CL31*BB18)</f>
        <v>24.233040215999999</v>
      </c>
      <c r="BA18" s="292">
        <f t="shared" si="17"/>
        <v>3.0291300269999999</v>
      </c>
      <c r="BB18" s="32">
        <v>1</v>
      </c>
      <c r="BC18" s="94"/>
      <c r="BD18" s="94"/>
      <c r="BE18" s="94"/>
      <c r="BF18" s="94"/>
      <c r="BG18" s="94"/>
      <c r="BH18" s="94"/>
      <c r="BI18" s="94"/>
      <c r="BJ18" s="94"/>
      <c r="BK18" s="94"/>
      <c r="BL18" s="94"/>
      <c r="BM18" s="94"/>
      <c r="BN18" s="94"/>
      <c r="BO18" s="94"/>
      <c r="BP18" s="94"/>
      <c r="BQ18" s="94"/>
      <c r="BR18" s="94"/>
      <c r="BS18" s="94"/>
      <c r="BT18" s="94"/>
      <c r="BU18" s="94"/>
      <c r="BV18" s="94"/>
      <c r="BW18" s="94"/>
      <c r="BX18" s="94">
        <v>4</v>
      </c>
      <c r="BY18" s="198" t="s">
        <v>26</v>
      </c>
      <c r="BZ18" s="30">
        <f t="shared" si="0"/>
        <v>10.26</v>
      </c>
      <c r="CA18" s="31">
        <f t="shared" si="1"/>
        <v>394652.36923200003</v>
      </c>
      <c r="CB18" s="25">
        <f t="shared" ref="CB18:CB34" si="20">CA18/(CL18*CP18)</f>
        <v>1105.0266338496001</v>
      </c>
      <c r="CC18" s="26">
        <f>CE18*8</f>
        <v>960</v>
      </c>
      <c r="CD18" s="276">
        <f t="shared" si="2"/>
        <v>138.12832923120001</v>
      </c>
      <c r="CE18" s="344">
        <v>120</v>
      </c>
      <c r="CF18" s="276">
        <f t="shared" si="11"/>
        <v>145.0266338496001</v>
      </c>
      <c r="CG18" s="302">
        <f t="shared" si="3"/>
        <v>394652.36923200003</v>
      </c>
      <c r="CH18" s="303">
        <f t="shared" si="4"/>
        <v>342857.1428571429</v>
      </c>
      <c r="CI18" s="305">
        <f t="shared" si="5"/>
        <v>51795.226374857186</v>
      </c>
      <c r="CJ18" s="330">
        <v>30</v>
      </c>
      <c r="CK18" s="324">
        <f t="shared" si="12"/>
        <v>15538.567912457158</v>
      </c>
      <c r="CL18" s="299">
        <f t="shared" si="13"/>
        <v>357.14285714285717</v>
      </c>
      <c r="CM18" s="339">
        <v>60000</v>
      </c>
      <c r="CO18" s="331">
        <f t="shared" si="14"/>
        <v>36256.658462400024</v>
      </c>
      <c r="CP18" s="359">
        <v>1</v>
      </c>
      <c r="CV18" s="207" t="s">
        <v>140</v>
      </c>
      <c r="CY18" s="213">
        <v>4</v>
      </c>
      <c r="CZ18" s="212" t="s">
        <v>204</v>
      </c>
      <c r="DA18" s="212" t="s">
        <v>226</v>
      </c>
      <c r="DB18" s="214" t="s">
        <v>201</v>
      </c>
      <c r="DC18" s="212" t="s">
        <v>223</v>
      </c>
      <c r="DD18" s="215" t="s">
        <v>153</v>
      </c>
      <c r="DE18" s="349">
        <v>15588001</v>
      </c>
      <c r="DF18" s="349">
        <v>3931897</v>
      </c>
      <c r="DG18" s="349">
        <f t="shared" si="18"/>
        <v>11656104</v>
      </c>
      <c r="DH18" s="349">
        <f t="shared" si="19"/>
        <v>3846514.3200000003</v>
      </c>
      <c r="DI18" s="207"/>
      <c r="DJ18" s="207"/>
      <c r="DK18" s="207"/>
      <c r="DL18" s="207" t="s">
        <v>140</v>
      </c>
      <c r="DM18" s="214" t="s">
        <v>225</v>
      </c>
      <c r="DO18" s="103"/>
    </row>
    <row r="19" spans="31:119" ht="21" customHeight="1" thickBot="1" x14ac:dyDescent="0.3">
      <c r="AE19" s="213">
        <v>5</v>
      </c>
      <c r="AF19" s="368" t="s">
        <v>27</v>
      </c>
      <c r="AG19" s="375"/>
      <c r="AH19" s="204"/>
      <c r="AI19" s="204"/>
      <c r="AJ19" s="204"/>
      <c r="AK19" s="204"/>
      <c r="AL19" s="204"/>
      <c r="AM19" s="204"/>
      <c r="AN19" s="377"/>
      <c r="AO19">
        <v>5</v>
      </c>
      <c r="AP19" s="361" t="s">
        <v>20</v>
      </c>
      <c r="AQ19" s="48"/>
      <c r="AR19" s="243"/>
      <c r="AS19" s="153"/>
      <c r="AT19" s="154"/>
      <c r="AU19" s="238" t="s">
        <v>21</v>
      </c>
      <c r="AV19" s="7">
        <v>10</v>
      </c>
      <c r="AW19" s="160" t="s">
        <v>25</v>
      </c>
      <c r="AX19" s="4">
        <f t="shared" si="8"/>
        <v>0.6</v>
      </c>
      <c r="AY19" s="5">
        <f t="shared" si="9"/>
        <v>23079.085920000001</v>
      </c>
      <c r="AZ19" s="6">
        <f>AY19/(CL17*BB19)</f>
        <v>55.389806208000003</v>
      </c>
      <c r="BA19" s="292">
        <f t="shared" si="17"/>
        <v>6.9237257760000004</v>
      </c>
      <c r="BB19" s="32">
        <v>1</v>
      </c>
      <c r="BC19" s="94"/>
      <c r="BD19" s="94"/>
      <c r="BE19" s="94"/>
      <c r="BF19" s="94"/>
      <c r="BG19" s="94"/>
      <c r="BH19" s="94"/>
      <c r="BI19" s="94"/>
      <c r="BJ19" s="94"/>
      <c r="BK19" s="94"/>
      <c r="BL19" s="94"/>
      <c r="BM19" s="94"/>
      <c r="BN19" s="94"/>
      <c r="BO19" s="94"/>
      <c r="BP19" s="94"/>
      <c r="BQ19" s="94"/>
      <c r="BR19" s="94"/>
      <c r="BS19" s="94"/>
      <c r="BT19" s="94"/>
      <c r="BU19" s="94"/>
      <c r="BV19" s="94"/>
      <c r="BW19" s="94"/>
      <c r="BX19" s="94">
        <v>5</v>
      </c>
      <c r="BY19" s="198" t="s">
        <v>27</v>
      </c>
      <c r="BZ19" s="30">
        <f t="shared" si="0"/>
        <v>2.6459999999999999</v>
      </c>
      <c r="CA19" s="31">
        <f t="shared" si="1"/>
        <v>101778.76890720001</v>
      </c>
      <c r="CB19" s="25">
        <f t="shared" si="20"/>
        <v>341.97666352819203</v>
      </c>
      <c r="CC19" s="26">
        <f t="shared" si="10"/>
        <v>480</v>
      </c>
      <c r="CD19" s="276">
        <f t="shared" si="2"/>
        <v>42.747082941024004</v>
      </c>
      <c r="CE19" s="344">
        <v>60</v>
      </c>
      <c r="CF19" s="276">
        <f t="shared" si="11"/>
        <v>-138.02333647180797</v>
      </c>
      <c r="CG19" s="302">
        <f t="shared" si="3"/>
        <v>101778.76890720001</v>
      </c>
      <c r="CH19" s="303">
        <f t="shared" si="4"/>
        <v>142857.14285714284</v>
      </c>
      <c r="CI19" s="305">
        <f t="shared" si="5"/>
        <v>-41078.373949942841</v>
      </c>
      <c r="CJ19" s="330">
        <v>30</v>
      </c>
      <c r="CK19" s="324">
        <f t="shared" si="12"/>
        <v>-12323.512184982852</v>
      </c>
      <c r="CL19" s="299">
        <f t="shared" si="13"/>
        <v>297.61904761904759</v>
      </c>
      <c r="CM19" s="339">
        <v>50000</v>
      </c>
      <c r="CO19" s="331">
        <f t="shared" si="14"/>
        <v>-28754.861764959991</v>
      </c>
      <c r="CP19" s="359">
        <v>1</v>
      </c>
      <c r="CV19" s="207" t="s">
        <v>141</v>
      </c>
      <c r="CY19" s="213">
        <v>5</v>
      </c>
      <c r="CZ19" s="212" t="s">
        <v>171</v>
      </c>
      <c r="DA19" s="212" t="s">
        <v>108</v>
      </c>
      <c r="DB19" s="214">
        <v>40401</v>
      </c>
      <c r="DC19" s="212" t="s">
        <v>79</v>
      </c>
      <c r="DD19" s="215" t="s">
        <v>161</v>
      </c>
      <c r="DE19" s="349">
        <v>15588001</v>
      </c>
      <c r="DF19" s="349">
        <v>3931897</v>
      </c>
      <c r="DG19" s="349">
        <f t="shared" si="18"/>
        <v>11656104</v>
      </c>
      <c r="DH19" s="349">
        <f t="shared" si="19"/>
        <v>3846514.3200000003</v>
      </c>
      <c r="DI19" s="207"/>
      <c r="DJ19" s="207"/>
      <c r="DK19" s="207"/>
      <c r="DL19" s="207" t="s">
        <v>141</v>
      </c>
      <c r="DM19" s="214">
        <v>40401</v>
      </c>
      <c r="DO19" s="103"/>
    </row>
    <row r="20" spans="31:119" ht="24" customHeight="1" thickBot="1" x14ac:dyDescent="0.3">
      <c r="AE20" s="213">
        <v>6</v>
      </c>
      <c r="AF20" s="368" t="s">
        <v>28</v>
      </c>
      <c r="AG20" s="375"/>
      <c r="AH20" s="204"/>
      <c r="AI20" s="204"/>
      <c r="AJ20" s="204"/>
      <c r="AK20" s="204"/>
      <c r="AL20" s="204"/>
      <c r="AM20" s="204"/>
      <c r="AN20" s="377"/>
      <c r="AO20">
        <v>6</v>
      </c>
      <c r="AP20" s="361" t="s">
        <v>20</v>
      </c>
      <c r="AQ20" s="48"/>
      <c r="AR20" s="243"/>
      <c r="AS20" s="153"/>
      <c r="AT20" s="154"/>
      <c r="AU20" s="238" t="s">
        <v>21</v>
      </c>
      <c r="AV20" s="7">
        <v>30</v>
      </c>
      <c r="AW20" s="160" t="s">
        <v>26</v>
      </c>
      <c r="AX20" s="4">
        <f t="shared" si="8"/>
        <v>1.8</v>
      </c>
      <c r="AY20" s="5">
        <f t="shared" si="9"/>
        <v>69237.257760000008</v>
      </c>
      <c r="AZ20" s="6">
        <f>AY20/(CL18*BB20)</f>
        <v>193.86432172800002</v>
      </c>
      <c r="BA20" s="292">
        <f t="shared" si="17"/>
        <v>24.233040216000003</v>
      </c>
      <c r="BB20" s="32">
        <v>1</v>
      </c>
      <c r="BC20" s="94"/>
      <c r="BD20" s="94"/>
      <c r="BE20" s="94"/>
      <c r="BF20" s="94"/>
      <c r="BG20" s="94"/>
      <c r="BH20" s="94"/>
      <c r="BI20" s="94"/>
      <c r="BJ20" s="94"/>
      <c r="BK20" s="94"/>
      <c r="BL20" s="94"/>
      <c r="BM20" s="94"/>
      <c r="BN20" s="94"/>
      <c r="BO20" s="94"/>
      <c r="BP20" s="94"/>
      <c r="BQ20" s="94"/>
      <c r="BR20" s="94"/>
      <c r="BS20" s="94"/>
      <c r="BT20" s="94"/>
      <c r="BU20" s="94"/>
      <c r="BV20" s="94"/>
      <c r="BW20" s="94"/>
      <c r="BX20" s="94">
        <v>6</v>
      </c>
      <c r="BY20" s="198" t="s">
        <v>28</v>
      </c>
      <c r="BZ20" s="30">
        <f t="shared" si="0"/>
        <v>7.2960000000000003</v>
      </c>
      <c r="CA20" s="31">
        <f t="shared" si="1"/>
        <v>280641.68478720001</v>
      </c>
      <c r="CB20" s="25">
        <f t="shared" si="20"/>
        <v>471.47803044249605</v>
      </c>
      <c r="CC20" s="26">
        <f t="shared" si="10"/>
        <v>400</v>
      </c>
      <c r="CD20" s="276">
        <f t="shared" si="2"/>
        <v>58.934753805312006</v>
      </c>
      <c r="CE20" s="344">
        <v>50</v>
      </c>
      <c r="CF20" s="276">
        <f t="shared" si="11"/>
        <v>71.478030442496049</v>
      </c>
      <c r="CG20" s="302">
        <f t="shared" si="3"/>
        <v>280641.68478720001</v>
      </c>
      <c r="CH20" s="303">
        <f t="shared" si="4"/>
        <v>238095.23809523808</v>
      </c>
      <c r="CI20" s="305">
        <f t="shared" si="5"/>
        <v>42546.44669196193</v>
      </c>
      <c r="CJ20" s="330">
        <v>30</v>
      </c>
      <c r="CK20" s="324">
        <f t="shared" si="12"/>
        <v>12763.934007588579</v>
      </c>
      <c r="CL20" s="299">
        <f t="shared" si="13"/>
        <v>595.23809523809518</v>
      </c>
      <c r="CM20" s="338">
        <v>100000</v>
      </c>
      <c r="CO20" s="331">
        <f t="shared" si="14"/>
        <v>29782.512684373352</v>
      </c>
      <c r="CP20" s="359">
        <v>1</v>
      </c>
      <c r="CV20" s="207" t="s">
        <v>142</v>
      </c>
      <c r="CY20" s="213">
        <v>6</v>
      </c>
      <c r="CZ20" s="212" t="s">
        <v>172</v>
      </c>
      <c r="DA20" s="212" t="s">
        <v>109</v>
      </c>
      <c r="DB20" s="214">
        <v>40036</v>
      </c>
      <c r="DC20" s="212" t="s">
        <v>80</v>
      </c>
      <c r="DD20" s="215" t="s">
        <v>153</v>
      </c>
      <c r="DE20" s="349">
        <v>15588001</v>
      </c>
      <c r="DF20" s="349">
        <v>3931897</v>
      </c>
      <c r="DG20" s="349">
        <f t="shared" si="18"/>
        <v>11656104</v>
      </c>
      <c r="DH20" s="349">
        <f t="shared" si="19"/>
        <v>3846514.3200000003</v>
      </c>
      <c r="DI20" s="207"/>
      <c r="DJ20" s="207"/>
      <c r="DK20" s="207"/>
      <c r="DL20" s="207" t="s">
        <v>142</v>
      </c>
      <c r="DM20" s="214">
        <v>40036</v>
      </c>
      <c r="DO20" s="103"/>
    </row>
    <row r="21" spans="31:119" ht="24" customHeight="1" thickBot="1" x14ac:dyDescent="0.3">
      <c r="AE21" s="213">
        <v>7</v>
      </c>
      <c r="AF21" s="368" t="s">
        <v>29</v>
      </c>
      <c r="AG21" s="375"/>
      <c r="AH21" s="204"/>
      <c r="AI21" s="204"/>
      <c r="AJ21" s="204"/>
      <c r="AK21" s="204"/>
      <c r="AL21" s="204"/>
      <c r="AM21" s="204"/>
      <c r="AN21" s="377"/>
      <c r="AO21">
        <v>7</v>
      </c>
      <c r="AP21" s="361" t="s">
        <v>20</v>
      </c>
      <c r="AQ21" s="48"/>
      <c r="AR21" s="243"/>
      <c r="AS21" s="153"/>
      <c r="AT21" s="154"/>
      <c r="AU21" s="238" t="s">
        <v>229</v>
      </c>
      <c r="AV21" s="7">
        <v>10</v>
      </c>
      <c r="AW21" s="161" t="s">
        <v>28</v>
      </c>
      <c r="AX21" s="4">
        <f t="shared" si="8"/>
        <v>0.6</v>
      </c>
      <c r="AY21" s="5">
        <f t="shared" si="9"/>
        <v>23079.085920000001</v>
      </c>
      <c r="AZ21" s="6">
        <f>AY21/(CL20*BB21)</f>
        <v>38.772864345600006</v>
      </c>
      <c r="BA21" s="292">
        <f t="shared" si="17"/>
        <v>4.8466080432000007</v>
      </c>
      <c r="BB21" s="32">
        <v>1</v>
      </c>
      <c r="BC21" s="94"/>
      <c r="BD21" s="94"/>
      <c r="BE21" s="94"/>
      <c r="BF21" s="94"/>
      <c r="BG21" s="94"/>
      <c r="BH21" s="94"/>
      <c r="BI21" s="94"/>
      <c r="BJ21" s="94"/>
      <c r="BK21" s="94"/>
      <c r="BL21" s="94"/>
      <c r="BM21" s="94"/>
      <c r="BN21" s="94"/>
      <c r="BO21" s="94"/>
      <c r="BP21" s="94"/>
      <c r="BQ21" s="94"/>
      <c r="BR21" s="94"/>
      <c r="BS21" s="94"/>
      <c r="BT21" s="94"/>
      <c r="BU21" s="94"/>
      <c r="BV21" s="94"/>
      <c r="BW21" s="94"/>
      <c r="BX21" s="94">
        <v>7</v>
      </c>
      <c r="BY21" s="198" t="s">
        <v>29</v>
      </c>
      <c r="BZ21" s="30">
        <f t="shared" si="0"/>
        <v>9.6539999999999999</v>
      </c>
      <c r="CA21" s="31">
        <f t="shared" si="1"/>
        <v>371342.49245280004</v>
      </c>
      <c r="CB21" s="25">
        <f t="shared" si="20"/>
        <v>779.81923415088011</v>
      </c>
      <c r="CC21" s="26">
        <f t="shared" si="10"/>
        <v>720</v>
      </c>
      <c r="CD21" s="276">
        <f t="shared" si="2"/>
        <v>97.477404268860013</v>
      </c>
      <c r="CE21" s="344">
        <v>90</v>
      </c>
      <c r="CF21" s="276">
        <f t="shared" si="11"/>
        <v>59.819234150880106</v>
      </c>
      <c r="CG21" s="302">
        <f>CA21</f>
        <v>371342.49245280004</v>
      </c>
      <c r="CH21" s="303">
        <f>(CC21*CL21)</f>
        <v>342857.14285714284</v>
      </c>
      <c r="CI21" s="305">
        <f t="shared" si="5"/>
        <v>28485.349595657193</v>
      </c>
      <c r="CJ21" s="330">
        <v>30</v>
      </c>
      <c r="CK21" s="324">
        <f t="shared" si="12"/>
        <v>8545.6048786971569</v>
      </c>
      <c r="CL21" s="299">
        <f t="shared" si="13"/>
        <v>476.1904761904762</v>
      </c>
      <c r="CM21" s="339">
        <v>80000</v>
      </c>
      <c r="CO21" s="331">
        <f>CI21-CK21</f>
        <v>19939.744716960035</v>
      </c>
      <c r="CP21" s="359">
        <v>1</v>
      </c>
      <c r="CV21" s="207" t="s">
        <v>165</v>
      </c>
      <c r="CY21" s="213">
        <v>7</v>
      </c>
      <c r="CZ21" s="212" t="s">
        <v>173</v>
      </c>
      <c r="DA21" s="212" t="s">
        <v>110</v>
      </c>
      <c r="DB21" s="214" t="s">
        <v>221</v>
      </c>
      <c r="DC21" s="212" t="s">
        <v>81</v>
      </c>
      <c r="DD21" s="215" t="s">
        <v>155</v>
      </c>
      <c r="DE21" s="349">
        <v>15588001</v>
      </c>
      <c r="DF21" s="349">
        <v>3931897</v>
      </c>
      <c r="DG21" s="349">
        <f t="shared" si="18"/>
        <v>11656104</v>
      </c>
      <c r="DH21" s="349">
        <f t="shared" si="19"/>
        <v>3846514.3200000003</v>
      </c>
      <c r="DI21" s="207"/>
      <c r="DJ21" s="207"/>
      <c r="DK21" s="207"/>
      <c r="DL21" s="207" t="s">
        <v>166</v>
      </c>
      <c r="DM21" s="214" t="s">
        <v>220</v>
      </c>
      <c r="DO21" s="103"/>
    </row>
    <row r="22" spans="31:119" ht="24" customHeight="1" thickBot="1" x14ac:dyDescent="0.3">
      <c r="AE22" s="213">
        <v>8</v>
      </c>
      <c r="AF22" s="368" t="s">
        <v>30</v>
      </c>
      <c r="AG22" s="375"/>
      <c r="AH22" s="204"/>
      <c r="AI22" s="204"/>
      <c r="AJ22" s="204"/>
      <c r="AK22" s="204"/>
      <c r="AL22" s="204"/>
      <c r="AM22" s="204"/>
      <c r="AN22" s="377"/>
      <c r="AO22">
        <v>8</v>
      </c>
      <c r="AP22" s="361" t="s">
        <v>20</v>
      </c>
      <c r="AQ22" s="48"/>
      <c r="AR22" s="243"/>
      <c r="AS22" s="153"/>
      <c r="AT22" s="154"/>
      <c r="AU22" s="238" t="s">
        <v>21</v>
      </c>
      <c r="AV22" s="8">
        <v>15</v>
      </c>
      <c r="AW22" s="160" t="s">
        <v>28</v>
      </c>
      <c r="AX22" s="4">
        <f t="shared" si="8"/>
        <v>0.9</v>
      </c>
      <c r="AY22" s="5">
        <f t="shared" si="9"/>
        <v>34618.628880000004</v>
      </c>
      <c r="AZ22" s="6">
        <f>AY22/(CL20*BB22)</f>
        <v>58.159296518400012</v>
      </c>
      <c r="BA22" s="292">
        <f t="shared" si="17"/>
        <v>7.2699120648000015</v>
      </c>
      <c r="BB22" s="32">
        <v>1</v>
      </c>
      <c r="BC22" s="94"/>
      <c r="BD22" s="94"/>
      <c r="BE22" s="94"/>
      <c r="BF22" s="94"/>
      <c r="BG22" s="94"/>
      <c r="BH22" s="94"/>
      <c r="BI22" s="94"/>
      <c r="BJ22" s="94"/>
      <c r="BK22" s="94"/>
      <c r="BL22" s="94"/>
      <c r="BM22" s="94"/>
      <c r="BN22" s="94"/>
      <c r="BO22" s="94"/>
      <c r="BP22" s="94"/>
      <c r="BQ22" s="94"/>
      <c r="BR22" s="94"/>
      <c r="BS22" s="94"/>
      <c r="BT22" s="94"/>
      <c r="BU22" s="94"/>
      <c r="BV22" s="94"/>
      <c r="BW22" s="94"/>
      <c r="BX22" s="94">
        <v>8</v>
      </c>
      <c r="BY22" s="198" t="s">
        <v>30</v>
      </c>
      <c r="BZ22" s="30">
        <f t="shared" si="0"/>
        <v>6.6360000000000001</v>
      </c>
      <c r="CA22" s="31">
        <f t="shared" si="1"/>
        <v>255254.6902752</v>
      </c>
      <c r="CB22" s="25">
        <f t="shared" si="20"/>
        <v>612.61125666047997</v>
      </c>
      <c r="CC22" s="26">
        <f t="shared" si="10"/>
        <v>800</v>
      </c>
      <c r="CD22" s="276">
        <f t="shared" si="2"/>
        <v>76.576407082559996</v>
      </c>
      <c r="CE22" s="344">
        <v>100</v>
      </c>
      <c r="CF22" s="276">
        <f t="shared" si="11"/>
        <v>-187.38874333952003</v>
      </c>
      <c r="CG22" s="302">
        <f t="shared" ref="CG22:CG34" si="21">CA22</f>
        <v>255254.6902752</v>
      </c>
      <c r="CH22" s="303">
        <f t="shared" ref="CH22:CH34" si="22">(CC22*CL22)</f>
        <v>333333.33333333337</v>
      </c>
      <c r="CI22" s="305">
        <f t="shared" si="5"/>
        <v>-78078.643058133355</v>
      </c>
      <c r="CJ22" s="330">
        <v>30</v>
      </c>
      <c r="CK22" s="324">
        <f t="shared" si="12"/>
        <v>-23423.592917440008</v>
      </c>
      <c r="CL22" s="299">
        <f t="shared" si="13"/>
        <v>416.66666666666669</v>
      </c>
      <c r="CM22" s="339">
        <v>70000</v>
      </c>
      <c r="CO22" s="331">
        <f t="shared" si="14"/>
        <v>-54655.050140693347</v>
      </c>
      <c r="CP22" s="359">
        <v>1</v>
      </c>
      <c r="CV22" s="207" t="s">
        <v>166</v>
      </c>
      <c r="CY22" s="213">
        <v>8</v>
      </c>
      <c r="CZ22" s="212" t="s">
        <v>174</v>
      </c>
      <c r="DA22" s="212" t="s">
        <v>111</v>
      </c>
      <c r="DB22" s="214">
        <v>39305</v>
      </c>
      <c r="DC22" s="212" t="s">
        <v>82</v>
      </c>
      <c r="DD22" s="215" t="s">
        <v>157</v>
      </c>
      <c r="DE22" s="349">
        <v>15588001</v>
      </c>
      <c r="DF22" s="349">
        <v>3931897</v>
      </c>
      <c r="DG22" s="349">
        <f t="shared" si="18"/>
        <v>11656104</v>
      </c>
      <c r="DH22" s="349">
        <f t="shared" si="19"/>
        <v>3846514.3200000003</v>
      </c>
      <c r="DI22" s="207"/>
      <c r="DJ22" s="207"/>
      <c r="DK22" s="207"/>
      <c r="DL22" s="207" t="s">
        <v>166</v>
      </c>
      <c r="DM22" s="214">
        <v>39305</v>
      </c>
      <c r="DO22" s="103"/>
    </row>
    <row r="23" spans="31:119" ht="24" customHeight="1" thickBot="1" x14ac:dyDescent="0.3">
      <c r="AE23" s="213">
        <v>9</v>
      </c>
      <c r="AF23" s="368" t="s">
        <v>37</v>
      </c>
      <c r="AG23" s="375"/>
      <c r="AH23" s="204"/>
      <c r="AI23" s="204"/>
      <c r="AJ23" s="204"/>
      <c r="AK23" s="204"/>
      <c r="AL23" s="204"/>
      <c r="AM23" s="204"/>
      <c r="AN23" s="377"/>
      <c r="AO23">
        <v>9</v>
      </c>
      <c r="AP23" s="361" t="s">
        <v>20</v>
      </c>
      <c r="AQ23" s="48"/>
      <c r="AR23" s="243"/>
      <c r="AS23" s="153"/>
      <c r="AT23" s="154"/>
      <c r="AU23" s="238" t="s">
        <v>21</v>
      </c>
      <c r="AV23" s="8">
        <v>5</v>
      </c>
      <c r="AW23" s="160" t="s">
        <v>29</v>
      </c>
      <c r="AX23" s="4">
        <f t="shared" si="8"/>
        <v>0.3</v>
      </c>
      <c r="AY23" s="5">
        <f t="shared" si="9"/>
        <v>11539.542960000001</v>
      </c>
      <c r="AZ23" s="6">
        <f>AY23/(CL21*BB23)</f>
        <v>24.233040215999999</v>
      </c>
      <c r="BA23" s="292">
        <f>AZ23/8</f>
        <v>3.0291300269999999</v>
      </c>
      <c r="BB23" s="32">
        <v>1</v>
      </c>
      <c r="BC23" s="94"/>
      <c r="BD23" s="94"/>
      <c r="BE23" s="94"/>
      <c r="BF23" s="94"/>
      <c r="BG23" s="94"/>
      <c r="BH23" s="94"/>
      <c r="BI23" s="94"/>
      <c r="BJ23" s="94"/>
      <c r="BK23" s="94"/>
      <c r="BL23" s="94"/>
      <c r="BM23" s="94"/>
      <c r="BN23" s="94"/>
      <c r="BO23" s="94"/>
      <c r="BP23" s="94"/>
      <c r="BQ23" s="94"/>
      <c r="BR23" s="94"/>
      <c r="BS23" s="94"/>
      <c r="BT23" s="94"/>
      <c r="BU23" s="94"/>
      <c r="BV23" s="94"/>
      <c r="BW23" s="94"/>
      <c r="BX23" s="94">
        <v>9</v>
      </c>
      <c r="BY23" s="198" t="s">
        <v>37</v>
      </c>
      <c r="BZ23" s="30">
        <f t="shared" si="0"/>
        <v>2.91</v>
      </c>
      <c r="CA23" s="31">
        <f t="shared" si="1"/>
        <v>111933.56671200001</v>
      </c>
      <c r="CB23" s="25">
        <f t="shared" si="20"/>
        <v>313.41398679360003</v>
      </c>
      <c r="CC23" s="26">
        <f t="shared" si="10"/>
        <v>640</v>
      </c>
      <c r="CD23" s="276">
        <f t="shared" si="2"/>
        <v>39.176748349200004</v>
      </c>
      <c r="CE23" s="344">
        <v>80</v>
      </c>
      <c r="CF23" s="276">
        <f t="shared" si="11"/>
        <v>-326.58601320639997</v>
      </c>
      <c r="CG23" s="302">
        <f t="shared" si="21"/>
        <v>111933.56671200001</v>
      </c>
      <c r="CH23" s="303">
        <f t="shared" si="22"/>
        <v>228571.42857142858</v>
      </c>
      <c r="CI23" s="305">
        <f t="shared" si="5"/>
        <v>-116637.86185942857</v>
      </c>
      <c r="CJ23" s="330">
        <v>30</v>
      </c>
      <c r="CK23" s="324">
        <f t="shared" si="12"/>
        <v>-34991.358557828571</v>
      </c>
      <c r="CL23" s="299">
        <f t="shared" si="13"/>
        <v>357.14285714285717</v>
      </c>
      <c r="CM23" s="339">
        <v>60000</v>
      </c>
      <c r="CO23" s="331">
        <f t="shared" si="14"/>
        <v>-81646.503301599994</v>
      </c>
      <c r="CP23" s="359">
        <v>1</v>
      </c>
      <c r="CV23" s="207" t="s">
        <v>143</v>
      </c>
      <c r="CY23" s="213">
        <v>9</v>
      </c>
      <c r="CZ23" s="212" t="s">
        <v>175</v>
      </c>
      <c r="DA23" s="212" t="s">
        <v>112</v>
      </c>
      <c r="DB23" s="214">
        <v>42227</v>
      </c>
      <c r="DC23" s="212" t="s">
        <v>83</v>
      </c>
      <c r="DD23" s="215" t="s">
        <v>159</v>
      </c>
      <c r="DE23" s="349">
        <v>15588001</v>
      </c>
      <c r="DF23" s="349">
        <v>3931897</v>
      </c>
      <c r="DG23" s="349">
        <f t="shared" si="18"/>
        <v>11656104</v>
      </c>
      <c r="DH23" s="349">
        <f t="shared" si="19"/>
        <v>3846514.3200000003</v>
      </c>
      <c r="DI23" s="207"/>
      <c r="DJ23" s="207"/>
      <c r="DK23" s="207"/>
      <c r="DL23" s="207" t="s">
        <v>143</v>
      </c>
      <c r="DM23" s="214">
        <v>42227</v>
      </c>
      <c r="DO23" s="103"/>
    </row>
    <row r="24" spans="31:119" ht="24" customHeight="1" thickBot="1" x14ac:dyDescent="0.3">
      <c r="AE24" s="213">
        <v>10</v>
      </c>
      <c r="AF24" s="368" t="s">
        <v>38</v>
      </c>
      <c r="AG24" s="375"/>
      <c r="AH24" s="204"/>
      <c r="AI24" s="204"/>
      <c r="AJ24" s="204"/>
      <c r="AK24" s="204"/>
      <c r="AL24" s="204"/>
      <c r="AM24" s="204"/>
      <c r="AN24" s="377"/>
      <c r="AP24" s="361" t="s">
        <v>20</v>
      </c>
      <c r="AQ24" s="48"/>
      <c r="AR24" s="244"/>
      <c r="AS24" s="155"/>
      <c r="AT24" s="156"/>
      <c r="AU24" s="238" t="s">
        <v>227</v>
      </c>
      <c r="AV24" s="8">
        <v>10</v>
      </c>
      <c r="AW24" s="162" t="s">
        <v>206</v>
      </c>
      <c r="AX24" s="9">
        <f t="shared" si="8"/>
        <v>0.6</v>
      </c>
      <c r="AY24" s="10">
        <f t="shared" si="9"/>
        <v>23079.085920000001</v>
      </c>
      <c r="AZ24" s="11">
        <f>AY24/(CL22*BB24)</f>
        <v>55.389806208000003</v>
      </c>
      <c r="BA24" s="293">
        <f t="shared" si="17"/>
        <v>6.9237257760000004</v>
      </c>
      <c r="BB24" s="32">
        <v>1</v>
      </c>
      <c r="BC24" s="94"/>
      <c r="BD24" s="94"/>
      <c r="BE24" s="94"/>
      <c r="BF24" s="94"/>
      <c r="BG24" s="94"/>
      <c r="BH24" s="94"/>
      <c r="BI24" s="94"/>
      <c r="BJ24" s="94"/>
      <c r="BK24" s="94"/>
      <c r="BL24" s="94"/>
      <c r="BM24" s="94"/>
      <c r="BN24" s="94"/>
      <c r="BO24" s="94"/>
      <c r="BP24" s="94"/>
      <c r="BQ24" s="94"/>
      <c r="BR24" s="94"/>
      <c r="BS24" s="94"/>
      <c r="BT24" s="94"/>
      <c r="BU24" s="94"/>
      <c r="BV24" s="94"/>
      <c r="BW24" s="94"/>
      <c r="BX24" s="94">
        <v>10</v>
      </c>
      <c r="BY24" s="198" t="s">
        <v>38</v>
      </c>
      <c r="BZ24" s="30">
        <f t="shared" si="0"/>
        <v>2.46</v>
      </c>
      <c r="CA24" s="31">
        <f t="shared" si="1"/>
        <v>94624.252272000012</v>
      </c>
      <c r="CB24" s="25">
        <f t="shared" si="20"/>
        <v>317.93748763392006</v>
      </c>
      <c r="CC24" s="26">
        <f t="shared" si="10"/>
        <v>400</v>
      </c>
      <c r="CD24" s="276">
        <f t="shared" si="2"/>
        <v>39.742185954240007</v>
      </c>
      <c r="CE24" s="344">
        <v>50</v>
      </c>
      <c r="CF24" s="276">
        <f t="shared" si="11"/>
        <v>-82.062512366079943</v>
      </c>
      <c r="CG24" s="302">
        <f t="shared" si="21"/>
        <v>94624.252272000012</v>
      </c>
      <c r="CH24" s="303">
        <f t="shared" si="22"/>
        <v>119047.61904761904</v>
      </c>
      <c r="CI24" s="305">
        <f t="shared" si="5"/>
        <v>-24423.36677561903</v>
      </c>
      <c r="CJ24" s="330">
        <v>30</v>
      </c>
      <c r="CK24" s="324">
        <f t="shared" si="12"/>
        <v>-7327.0100326857091</v>
      </c>
      <c r="CL24" s="299">
        <f t="shared" si="13"/>
        <v>297.61904761904759</v>
      </c>
      <c r="CM24" s="339">
        <v>50000</v>
      </c>
      <c r="CO24" s="331">
        <f t="shared" si="14"/>
        <v>-17096.35674293332</v>
      </c>
      <c r="CP24" s="359">
        <v>1</v>
      </c>
      <c r="CV24" s="207" t="s">
        <v>144</v>
      </c>
      <c r="CY24" s="213">
        <v>10</v>
      </c>
      <c r="CZ24" s="212" t="s">
        <v>176</v>
      </c>
      <c r="DA24" s="212" t="s">
        <v>113</v>
      </c>
      <c r="DB24" s="214">
        <v>40401</v>
      </c>
      <c r="DC24" s="212" t="s">
        <v>84</v>
      </c>
      <c r="DD24" s="215" t="s">
        <v>161</v>
      </c>
      <c r="DE24" s="349">
        <v>15588001</v>
      </c>
      <c r="DF24" s="349">
        <v>3931897</v>
      </c>
      <c r="DG24" s="349">
        <f t="shared" si="18"/>
        <v>11656104</v>
      </c>
      <c r="DH24" s="349">
        <f t="shared" si="19"/>
        <v>3846514.3200000003</v>
      </c>
      <c r="DI24" s="207"/>
      <c r="DJ24" s="207"/>
      <c r="DK24" s="207"/>
      <c r="DL24" s="207" t="s">
        <v>144</v>
      </c>
      <c r="DM24" s="214">
        <v>40401</v>
      </c>
      <c r="DO24" s="103"/>
    </row>
    <row r="25" spans="31:119" ht="30.75" thickBot="1" x14ac:dyDescent="0.3">
      <c r="AE25" s="213">
        <v>11</v>
      </c>
      <c r="AF25" s="368" t="s">
        <v>40</v>
      </c>
      <c r="AG25" s="375"/>
      <c r="AH25" s="204"/>
      <c r="AI25" s="204"/>
      <c r="AJ25" s="204"/>
      <c r="AK25" s="204"/>
      <c r="AL25" s="204"/>
      <c r="AM25" s="204"/>
      <c r="AN25" s="377"/>
      <c r="AQ25" s="158"/>
      <c r="AR25" s="408" t="s">
        <v>31</v>
      </c>
      <c r="AS25" s="409"/>
      <c r="AT25" s="409"/>
      <c r="AU25" s="409"/>
      <c r="AV25" s="12">
        <f>SUM(AV16:AV24)</f>
        <v>100</v>
      </c>
      <c r="AW25" s="13"/>
      <c r="AX25" s="14">
        <f>SUM(AX16:AX24)</f>
        <v>5.9999999999999991</v>
      </c>
      <c r="AY25" s="15">
        <f>SUM(AY16:AY24)</f>
        <v>230790.85920000004</v>
      </c>
      <c r="AZ25" s="16">
        <f>SUM(AZ16:AZ24)</f>
        <v>517.89468804480009</v>
      </c>
      <c r="BA25" s="294">
        <f>SUM(BA16:BA24)</f>
        <v>64.736836005600011</v>
      </c>
      <c r="BB25" s="295"/>
      <c r="BC25" s="95"/>
      <c r="BD25" s="95"/>
      <c r="BE25" s="95"/>
      <c r="BF25" s="95"/>
      <c r="BG25" s="95"/>
      <c r="BH25" s="95"/>
      <c r="BI25" s="95"/>
      <c r="BJ25" s="95"/>
      <c r="BK25" s="95"/>
      <c r="BL25" s="95"/>
      <c r="BM25" s="95"/>
      <c r="BN25" s="95"/>
      <c r="BO25" s="95"/>
      <c r="BP25" s="95"/>
      <c r="BQ25" s="95"/>
      <c r="BR25" s="95"/>
      <c r="BS25" s="95"/>
      <c r="BT25" s="95"/>
      <c r="BU25" s="95"/>
      <c r="BV25" s="95"/>
      <c r="BW25" s="95"/>
      <c r="BX25" s="95">
        <v>11</v>
      </c>
      <c r="BY25" s="198" t="s">
        <v>40</v>
      </c>
      <c r="BZ25" s="30">
        <f t="shared" si="0"/>
        <v>5.04</v>
      </c>
      <c r="CA25" s="31">
        <f t="shared" si="1"/>
        <v>193864.32172800001</v>
      </c>
      <c r="CB25" s="25">
        <f t="shared" si="20"/>
        <v>325.69206050304007</v>
      </c>
      <c r="CC25" s="26">
        <f t="shared" si="10"/>
        <v>272</v>
      </c>
      <c r="CD25" s="276">
        <f t="shared" si="2"/>
        <v>40.711507562880008</v>
      </c>
      <c r="CE25" s="344">
        <v>34</v>
      </c>
      <c r="CF25" s="276">
        <f t="shared" si="11"/>
        <v>53.692060503040068</v>
      </c>
      <c r="CG25" s="302">
        <f t="shared" si="21"/>
        <v>193864.32172800001</v>
      </c>
      <c r="CH25" s="303">
        <f t="shared" si="22"/>
        <v>161904.76190476189</v>
      </c>
      <c r="CI25" s="305">
        <f t="shared" si="5"/>
        <v>31959.559823238134</v>
      </c>
      <c r="CJ25" s="330">
        <v>30</v>
      </c>
      <c r="CK25" s="324">
        <f t="shared" si="12"/>
        <v>9587.8679469714407</v>
      </c>
      <c r="CL25" s="299">
        <f t="shared" si="13"/>
        <v>595.23809523809518</v>
      </c>
      <c r="CM25" s="338">
        <v>100000</v>
      </c>
      <c r="CO25" s="331">
        <f t="shared" si="14"/>
        <v>22371.691876266694</v>
      </c>
      <c r="CP25" s="359">
        <v>1</v>
      </c>
      <c r="CV25" s="207" t="s">
        <v>145</v>
      </c>
      <c r="CY25" s="213">
        <v>11</v>
      </c>
      <c r="CZ25" s="212" t="s">
        <v>177</v>
      </c>
      <c r="DA25" s="212" t="s">
        <v>114</v>
      </c>
      <c r="DB25" s="214">
        <v>40766</v>
      </c>
      <c r="DC25" s="212" t="s">
        <v>85</v>
      </c>
      <c r="DD25" s="215" t="s">
        <v>153</v>
      </c>
      <c r="DE25" s="349">
        <v>15588001</v>
      </c>
      <c r="DF25" s="349">
        <v>3931897</v>
      </c>
      <c r="DG25" s="349">
        <f t="shared" si="18"/>
        <v>11656104</v>
      </c>
      <c r="DH25" s="349">
        <f t="shared" si="19"/>
        <v>3846514.3200000003</v>
      </c>
      <c r="DI25" s="207"/>
      <c r="DJ25" s="207"/>
      <c r="DK25" s="207"/>
      <c r="DL25" s="207" t="s">
        <v>145</v>
      </c>
      <c r="DM25" s="214">
        <v>40766</v>
      </c>
      <c r="DO25" s="103"/>
    </row>
    <row r="26" spans="31:119" ht="21.75" customHeight="1" thickBot="1" x14ac:dyDescent="0.3">
      <c r="AE26" s="213">
        <v>12</v>
      </c>
      <c r="AF26" s="369" t="s">
        <v>41</v>
      </c>
      <c r="AG26" s="375"/>
      <c r="AH26" s="204"/>
      <c r="AI26" s="204"/>
      <c r="AJ26" s="204"/>
      <c r="AK26" s="204"/>
      <c r="AL26" s="204"/>
      <c r="AM26" s="204"/>
      <c r="AN26" s="377"/>
      <c r="AQ26" s="137"/>
      <c r="AR26" s="138"/>
      <c r="AS26" s="138"/>
      <c r="AT26" s="138"/>
      <c r="AU26" s="138" t="s">
        <v>13</v>
      </c>
      <c r="AV26" s="138" t="s">
        <v>32</v>
      </c>
      <c r="AW26" s="139"/>
      <c r="AX26" s="140"/>
      <c r="AY26" s="141"/>
      <c r="AZ26" s="142"/>
      <c r="BA26" s="143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45">
        <v>12</v>
      </c>
      <c r="BY26" s="199" t="s">
        <v>41</v>
      </c>
      <c r="BZ26" s="30">
        <f t="shared" si="0"/>
        <v>16.2</v>
      </c>
      <c r="CA26" s="31">
        <f t="shared" si="1"/>
        <v>623135.31984000001</v>
      </c>
      <c r="CB26" s="25">
        <f t="shared" si="20"/>
        <v>1308.584171664</v>
      </c>
      <c r="CC26" s="26">
        <f t="shared" si="10"/>
        <v>1392</v>
      </c>
      <c r="CD26" s="276">
        <f t="shared" si="2"/>
        <v>163.573021458</v>
      </c>
      <c r="CE26" s="344">
        <v>174</v>
      </c>
      <c r="CF26" s="276">
        <f t="shared" si="11"/>
        <v>-83.415828336000004</v>
      </c>
      <c r="CG26" s="302">
        <f t="shared" si="21"/>
        <v>623135.31984000001</v>
      </c>
      <c r="CH26" s="303">
        <f t="shared" si="22"/>
        <v>662857.14285714284</v>
      </c>
      <c r="CI26" s="305">
        <f t="shared" si="5"/>
        <v>-39721.823017142859</v>
      </c>
      <c r="CJ26" s="330">
        <v>30</v>
      </c>
      <c r="CK26" s="324">
        <f t="shared" si="12"/>
        <v>-11916.546905142857</v>
      </c>
      <c r="CL26" s="299">
        <f t="shared" si="13"/>
        <v>476.1904761904762</v>
      </c>
      <c r="CM26" s="339">
        <v>80000</v>
      </c>
      <c r="CO26" s="331">
        <f t="shared" si="14"/>
        <v>-27805.276112</v>
      </c>
      <c r="CP26" s="359">
        <v>1</v>
      </c>
      <c r="CV26" s="204"/>
      <c r="CY26" s="213">
        <v>12</v>
      </c>
      <c r="CZ26" s="212" t="s">
        <v>178</v>
      </c>
      <c r="DA26" s="212" t="s">
        <v>115</v>
      </c>
      <c r="DB26" s="214">
        <v>41132</v>
      </c>
      <c r="DC26" s="212" t="s">
        <v>86</v>
      </c>
      <c r="DD26" s="215" t="s">
        <v>155</v>
      </c>
      <c r="DE26" s="349">
        <v>15588001</v>
      </c>
      <c r="DF26" s="349">
        <v>3931897</v>
      </c>
      <c r="DG26" s="349">
        <f t="shared" si="18"/>
        <v>11656104</v>
      </c>
      <c r="DH26" s="349">
        <f t="shared" si="19"/>
        <v>3846514.3200000003</v>
      </c>
      <c r="DI26" s="207"/>
      <c r="DJ26" s="207"/>
      <c r="DK26" s="207"/>
      <c r="DL26" s="207" t="s">
        <v>145</v>
      </c>
      <c r="DM26" s="214">
        <v>41132</v>
      </c>
      <c r="DO26" s="103"/>
    </row>
    <row r="27" spans="31:119" ht="27" customHeight="1" thickBot="1" x14ac:dyDescent="0.3">
      <c r="AE27" s="213">
        <v>13</v>
      </c>
      <c r="AF27" s="369" t="s">
        <v>43</v>
      </c>
      <c r="AG27" s="375"/>
      <c r="AH27" s="204"/>
      <c r="AI27" s="204"/>
      <c r="AJ27" s="204"/>
      <c r="AK27" s="204"/>
      <c r="AL27" s="204"/>
      <c r="AM27" s="204"/>
      <c r="AN27" s="377"/>
      <c r="AP27" s="361" t="s">
        <v>32</v>
      </c>
      <c r="AQ27" s="58">
        <v>2</v>
      </c>
      <c r="AR27" s="242">
        <v>3</v>
      </c>
      <c r="AS27" s="18">
        <v>70</v>
      </c>
      <c r="AT27" s="2"/>
      <c r="AU27" s="238" t="s">
        <v>33</v>
      </c>
      <c r="AV27" s="19">
        <v>70</v>
      </c>
      <c r="AW27" s="163" t="s">
        <v>27</v>
      </c>
      <c r="AX27" s="20">
        <f>$AT$29*AV27/100</f>
        <v>1.47</v>
      </c>
      <c r="AY27" s="21">
        <f t="shared" si="9"/>
        <v>56543.760503999998</v>
      </c>
      <c r="AZ27" s="22">
        <f>AY27/(CL19*BB27)</f>
        <v>189.98703529344002</v>
      </c>
      <c r="BA27" s="296">
        <f t="shared" si="17"/>
        <v>23.748379411680002</v>
      </c>
      <c r="BB27" s="32">
        <v>1</v>
      </c>
      <c r="BC27" s="94"/>
      <c r="BD27" s="94"/>
      <c r="BE27" s="94"/>
      <c r="BF27" s="94"/>
      <c r="BG27" s="94"/>
      <c r="BH27" s="94"/>
      <c r="BI27" s="94"/>
      <c r="BJ27" s="94"/>
      <c r="BK27" s="94"/>
      <c r="BL27" s="94"/>
      <c r="BM27" s="94"/>
      <c r="BN27" s="94"/>
      <c r="BO27" s="94"/>
      <c r="BP27" s="94"/>
      <c r="BQ27" s="94"/>
      <c r="BR27" s="94"/>
      <c r="BS27" s="94"/>
      <c r="BT27" s="94"/>
      <c r="BU27" s="94"/>
      <c r="BV27" s="94"/>
      <c r="BW27" s="94"/>
      <c r="BX27" s="94">
        <v>13</v>
      </c>
      <c r="BY27" s="199" t="s">
        <v>43</v>
      </c>
      <c r="BZ27" s="30">
        <f t="shared" si="0"/>
        <v>4.32</v>
      </c>
      <c r="CA27" s="31">
        <f t="shared" si="1"/>
        <v>166169.41862400004</v>
      </c>
      <c r="CB27" s="25">
        <f t="shared" si="20"/>
        <v>398.80660469760011</v>
      </c>
      <c r="CC27" s="26">
        <f t="shared" si="10"/>
        <v>416</v>
      </c>
      <c r="CD27" s="276">
        <f t="shared" si="2"/>
        <v>49.850825587200013</v>
      </c>
      <c r="CE27" s="344">
        <v>52</v>
      </c>
      <c r="CF27" s="276">
        <f t="shared" si="11"/>
        <v>-17.193395302399892</v>
      </c>
      <c r="CG27" s="302">
        <f t="shared" si="21"/>
        <v>166169.41862400004</v>
      </c>
      <c r="CH27" s="303">
        <f t="shared" si="22"/>
        <v>173333.33333333334</v>
      </c>
      <c r="CI27" s="305">
        <f t="shared" si="5"/>
        <v>-7163.9147093332886</v>
      </c>
      <c r="CJ27" s="330">
        <v>30</v>
      </c>
      <c r="CK27" s="324">
        <f t="shared" si="12"/>
        <v>-2149.1744127999864</v>
      </c>
      <c r="CL27" s="299">
        <f t="shared" si="13"/>
        <v>416.66666666666669</v>
      </c>
      <c r="CM27" s="339">
        <v>70000</v>
      </c>
      <c r="CO27" s="331">
        <f t="shared" si="14"/>
        <v>-5014.7402965333022</v>
      </c>
      <c r="CP27" s="359">
        <v>1</v>
      </c>
      <c r="CV27" s="204"/>
      <c r="CY27" s="213">
        <v>13</v>
      </c>
      <c r="CZ27" s="212" t="s">
        <v>179</v>
      </c>
      <c r="DA27" s="212" t="s">
        <v>116</v>
      </c>
      <c r="DB27" s="214">
        <v>41497</v>
      </c>
      <c r="DC27" s="212" t="s">
        <v>87</v>
      </c>
      <c r="DD27" s="215" t="s">
        <v>157</v>
      </c>
      <c r="DE27" s="349">
        <v>15588001</v>
      </c>
      <c r="DF27" s="349">
        <v>3931897</v>
      </c>
      <c r="DG27" s="349">
        <f t="shared" si="18"/>
        <v>11656104</v>
      </c>
      <c r="DH27" s="349">
        <f t="shared" si="19"/>
        <v>3846514.3200000003</v>
      </c>
      <c r="DI27" s="207"/>
      <c r="DJ27" s="207"/>
      <c r="DK27" s="207"/>
      <c r="DL27" s="207" t="s">
        <v>145</v>
      </c>
      <c r="DM27" s="214">
        <v>41497</v>
      </c>
      <c r="DO27" s="103"/>
    </row>
    <row r="28" spans="31:119" ht="23.25" customHeight="1" thickBot="1" x14ac:dyDescent="0.3">
      <c r="AE28" s="213">
        <v>14</v>
      </c>
      <c r="AF28" s="370" t="s">
        <v>44</v>
      </c>
      <c r="AG28" s="375"/>
      <c r="AH28" s="204"/>
      <c r="AI28" s="204"/>
      <c r="AJ28" s="204"/>
      <c r="AK28" s="204"/>
      <c r="AL28" s="204"/>
      <c r="AM28" s="204"/>
      <c r="AN28" s="377"/>
      <c r="AP28" s="361" t="s">
        <v>32</v>
      </c>
      <c r="AQ28" s="48"/>
      <c r="AR28" s="243"/>
      <c r="AS28" s="27"/>
      <c r="AT28" s="28"/>
      <c r="AU28" s="238" t="s">
        <v>33</v>
      </c>
      <c r="AV28" s="7">
        <v>30</v>
      </c>
      <c r="AW28" s="160" t="s">
        <v>30</v>
      </c>
      <c r="AX28" s="29">
        <f>$AT$29*AV28/100</f>
        <v>0.63</v>
      </c>
      <c r="AY28" s="5">
        <f t="shared" si="9"/>
        <v>24233.040216000001</v>
      </c>
      <c r="AZ28" s="6">
        <f>AY28/(CL22*BB28)</f>
        <v>58.159296518399998</v>
      </c>
      <c r="BA28" s="292">
        <f t="shared" si="17"/>
        <v>7.2699120647999997</v>
      </c>
      <c r="BB28" s="32">
        <v>1</v>
      </c>
      <c r="BC28" s="94"/>
      <c r="BD28" s="94"/>
      <c r="BE28" s="94"/>
      <c r="BF28" s="94"/>
      <c r="BG28" s="94"/>
      <c r="BH28" s="94"/>
      <c r="BI28" s="94"/>
      <c r="BJ28" s="94"/>
      <c r="BK28" s="94"/>
      <c r="BL28" s="94"/>
      <c r="BM28" s="94"/>
      <c r="BN28" s="94"/>
      <c r="BO28" s="94"/>
      <c r="BP28" s="94"/>
      <c r="BQ28" s="94"/>
      <c r="BR28" s="94"/>
      <c r="BS28" s="94"/>
      <c r="BT28" s="94"/>
      <c r="BU28" s="94"/>
      <c r="BV28" s="94"/>
      <c r="BW28" s="94"/>
      <c r="BX28" s="94">
        <v>14</v>
      </c>
      <c r="BY28" s="200" t="s">
        <v>44</v>
      </c>
      <c r="BZ28" s="30">
        <f t="shared" si="0"/>
        <v>2.1</v>
      </c>
      <c r="CA28" s="31">
        <f t="shared" si="1"/>
        <v>80776.800719999999</v>
      </c>
      <c r="CB28" s="25">
        <f t="shared" si="20"/>
        <v>226.17504201599999</v>
      </c>
      <c r="CC28" s="26">
        <f t="shared" si="10"/>
        <v>136</v>
      </c>
      <c r="CD28" s="276">
        <f t="shared" si="2"/>
        <v>28.271880251999999</v>
      </c>
      <c r="CE28" s="344">
        <v>17</v>
      </c>
      <c r="CF28" s="276">
        <f t="shared" si="11"/>
        <v>90.175042015999992</v>
      </c>
      <c r="CG28" s="302">
        <f t="shared" si="21"/>
        <v>80776.800719999999</v>
      </c>
      <c r="CH28" s="303">
        <f t="shared" si="22"/>
        <v>48571.428571428572</v>
      </c>
      <c r="CI28" s="305">
        <f t="shared" si="5"/>
        <v>32205.372148571427</v>
      </c>
      <c r="CJ28" s="330">
        <v>30</v>
      </c>
      <c r="CK28" s="324">
        <f t="shared" si="12"/>
        <v>9661.6116445714288</v>
      </c>
      <c r="CL28" s="299">
        <f t="shared" si="13"/>
        <v>357.14285714285717</v>
      </c>
      <c r="CM28" s="339">
        <v>60000</v>
      </c>
      <c r="CO28" s="331">
        <f t="shared" si="14"/>
        <v>22543.760503999998</v>
      </c>
      <c r="CP28" s="359">
        <v>1</v>
      </c>
      <c r="CV28" s="204"/>
      <c r="CY28" s="213">
        <v>14</v>
      </c>
      <c r="CZ28" s="212" t="s">
        <v>180</v>
      </c>
      <c r="DA28" s="212" t="s">
        <v>117</v>
      </c>
      <c r="DB28" s="214">
        <v>41862</v>
      </c>
      <c r="DC28" s="212" t="s">
        <v>88</v>
      </c>
      <c r="DD28" s="215" t="s">
        <v>159</v>
      </c>
      <c r="DE28" s="349">
        <v>15588001</v>
      </c>
      <c r="DF28" s="349">
        <v>3931897</v>
      </c>
      <c r="DG28" s="349">
        <f t="shared" si="18"/>
        <v>11656104</v>
      </c>
      <c r="DH28" s="349">
        <f t="shared" si="19"/>
        <v>3846514.3200000003</v>
      </c>
      <c r="DI28" s="207"/>
      <c r="DJ28" s="207"/>
      <c r="DK28" s="207"/>
      <c r="DL28" s="207" t="s">
        <v>145</v>
      </c>
      <c r="DM28" s="214">
        <v>41862</v>
      </c>
      <c r="DO28" s="103"/>
    </row>
    <row r="29" spans="31:119" ht="27.75" customHeight="1" thickBot="1" x14ac:dyDescent="0.3">
      <c r="AE29" s="213">
        <v>15</v>
      </c>
      <c r="AF29" s="371" t="s">
        <v>46</v>
      </c>
      <c r="AG29" s="375"/>
      <c r="AH29" s="204"/>
      <c r="AI29" s="204"/>
      <c r="AJ29" s="204"/>
      <c r="AK29" s="204"/>
      <c r="AL29" s="204"/>
      <c r="AM29" s="204"/>
      <c r="AN29" s="377"/>
      <c r="AP29" s="361" t="s">
        <v>32</v>
      </c>
      <c r="AQ29" s="48"/>
      <c r="AR29" s="243"/>
      <c r="AS29" s="27"/>
      <c r="AT29" s="33">
        <f>AR27*AS27/100</f>
        <v>2.1</v>
      </c>
      <c r="AU29" s="238" t="s">
        <v>33</v>
      </c>
      <c r="AV29" s="7"/>
      <c r="AW29" s="34"/>
      <c r="AX29" s="29">
        <f>$AR$27*AV29/100</f>
        <v>0</v>
      </c>
      <c r="AY29" s="5"/>
      <c r="AZ29" s="6"/>
      <c r="BA29" s="292"/>
      <c r="BB29" s="32">
        <v>1</v>
      </c>
      <c r="BC29" s="94"/>
      <c r="BD29" s="94"/>
      <c r="BE29" s="94"/>
      <c r="BF29" s="94"/>
      <c r="BG29" s="94"/>
      <c r="BH29" s="94"/>
      <c r="BI29" s="94"/>
      <c r="BJ29" s="94"/>
      <c r="BK29" s="94"/>
      <c r="BL29" s="94"/>
      <c r="BM29" s="94"/>
      <c r="BN29" s="94"/>
      <c r="BO29" s="94"/>
      <c r="BP29" s="94"/>
      <c r="BQ29" s="94"/>
      <c r="BR29" s="94"/>
      <c r="BS29" s="94"/>
      <c r="BT29" s="94"/>
      <c r="BU29" s="94"/>
      <c r="BV29" s="94"/>
      <c r="BW29" s="94"/>
      <c r="BX29" s="94">
        <v>15</v>
      </c>
      <c r="BY29" s="201" t="s">
        <v>46</v>
      </c>
      <c r="BZ29" s="30">
        <f t="shared" si="0"/>
        <v>2.4</v>
      </c>
      <c r="CA29" s="31">
        <f t="shared" si="1"/>
        <v>92316.343680000005</v>
      </c>
      <c r="CB29" s="25">
        <f t="shared" si="20"/>
        <v>310.18291476480005</v>
      </c>
      <c r="CC29" s="26">
        <f t="shared" si="10"/>
        <v>456</v>
      </c>
      <c r="CD29" s="276">
        <f t="shared" si="2"/>
        <v>38.772864345600006</v>
      </c>
      <c r="CE29" s="344">
        <v>57</v>
      </c>
      <c r="CF29" s="276">
        <f t="shared" si="11"/>
        <v>-145.81708523519995</v>
      </c>
      <c r="CG29" s="302">
        <f t="shared" si="21"/>
        <v>92316.343680000005</v>
      </c>
      <c r="CH29" s="303">
        <f t="shared" si="22"/>
        <v>135714.28571428571</v>
      </c>
      <c r="CI29" s="305">
        <f t="shared" si="5"/>
        <v>-43397.942034285697</v>
      </c>
      <c r="CJ29" s="330">
        <v>30</v>
      </c>
      <c r="CK29" s="324">
        <f t="shared" si="12"/>
        <v>-13019.382610285709</v>
      </c>
      <c r="CL29" s="299">
        <f t="shared" si="13"/>
        <v>297.61904761904759</v>
      </c>
      <c r="CM29" s="339">
        <v>50000</v>
      </c>
      <c r="CO29" s="331">
        <f t="shared" si="14"/>
        <v>-30378.559423999988</v>
      </c>
      <c r="CP29" s="359">
        <v>1</v>
      </c>
      <c r="CV29" s="204"/>
      <c r="CY29" s="213">
        <v>15</v>
      </c>
      <c r="CZ29" s="212" t="s">
        <v>181</v>
      </c>
      <c r="DA29" s="212" t="s">
        <v>118</v>
      </c>
      <c r="DB29" s="214">
        <v>42227</v>
      </c>
      <c r="DC29" s="212" t="s">
        <v>89</v>
      </c>
      <c r="DD29" s="215" t="s">
        <v>161</v>
      </c>
      <c r="DE29" s="349">
        <v>15588001</v>
      </c>
      <c r="DF29" s="349">
        <v>3931897</v>
      </c>
      <c r="DG29" s="349">
        <f t="shared" si="18"/>
        <v>11656104</v>
      </c>
      <c r="DH29" s="349">
        <f t="shared" si="19"/>
        <v>3846514.3200000003</v>
      </c>
      <c r="DI29" s="207"/>
      <c r="DJ29" s="207"/>
      <c r="DK29" s="207"/>
      <c r="DL29" s="207" t="s">
        <v>145</v>
      </c>
      <c r="DM29" s="214">
        <v>42227</v>
      </c>
      <c r="DO29" s="103"/>
    </row>
    <row r="30" spans="31:119" ht="27" customHeight="1" thickBot="1" x14ac:dyDescent="0.3">
      <c r="AE30" s="213">
        <v>16</v>
      </c>
      <c r="AF30" s="372" t="s">
        <v>47</v>
      </c>
      <c r="AG30" s="375"/>
      <c r="AH30" s="204"/>
      <c r="AI30" s="204"/>
      <c r="AJ30" s="204"/>
      <c r="AK30" s="204"/>
      <c r="AL30" s="204"/>
      <c r="AM30" s="204"/>
      <c r="AN30" s="377"/>
      <c r="AP30" s="361" t="s">
        <v>32</v>
      </c>
      <c r="AQ30" s="48"/>
      <c r="AR30" s="243"/>
      <c r="AS30" s="35">
        <v>30</v>
      </c>
      <c r="AT30" s="2"/>
      <c r="AU30" s="239" t="s">
        <v>34</v>
      </c>
      <c r="AV30" s="3">
        <v>50</v>
      </c>
      <c r="AW30" s="164" t="s">
        <v>23</v>
      </c>
      <c r="AX30" s="29">
        <f>$AT$32*AV30/100</f>
        <v>0.45</v>
      </c>
      <c r="AY30" s="5">
        <f t="shared" si="9"/>
        <v>17309.314440000002</v>
      </c>
      <c r="AZ30" s="6">
        <f>AY30/(CL16*BB30)</f>
        <v>36.349560324000002</v>
      </c>
      <c r="BA30" s="292">
        <f t="shared" si="17"/>
        <v>4.5436950405000003</v>
      </c>
      <c r="BB30" s="32">
        <v>1</v>
      </c>
      <c r="BC30" s="94"/>
      <c r="BD30" s="94"/>
      <c r="BE30" s="94"/>
      <c r="BF30" s="94"/>
      <c r="BG30" s="94"/>
      <c r="BH30" s="94"/>
      <c r="BI30" s="94"/>
      <c r="BJ30" s="94"/>
      <c r="BK30" s="94"/>
      <c r="BL30" s="94"/>
      <c r="BM30" s="94"/>
      <c r="BN30" s="94"/>
      <c r="BO30" s="94"/>
      <c r="BP30" s="94"/>
      <c r="BQ30" s="94"/>
      <c r="BR30" s="94"/>
      <c r="BS30" s="94"/>
      <c r="BT30" s="94"/>
      <c r="BU30" s="94"/>
      <c r="BV30" s="94"/>
      <c r="BW30" s="94"/>
      <c r="BX30" s="94">
        <v>16</v>
      </c>
      <c r="BY30" s="202" t="s">
        <v>47</v>
      </c>
      <c r="BZ30" s="30">
        <f t="shared" si="0"/>
        <v>1.2</v>
      </c>
      <c r="CA30" s="31">
        <f t="shared" si="1"/>
        <v>46158.171840000003</v>
      </c>
      <c r="CB30" s="25">
        <f t="shared" si="20"/>
        <v>77.545728691200011</v>
      </c>
      <c r="CC30" s="26">
        <f t="shared" si="10"/>
        <v>56</v>
      </c>
      <c r="CD30" s="276">
        <f t="shared" si="2"/>
        <v>9.6932160864000014</v>
      </c>
      <c r="CE30" s="344">
        <v>7</v>
      </c>
      <c r="CF30" s="276">
        <f t="shared" si="11"/>
        <v>21.545728691200011</v>
      </c>
      <c r="CG30" s="302">
        <f t="shared" si="21"/>
        <v>46158.171840000003</v>
      </c>
      <c r="CH30" s="303">
        <f t="shared" si="22"/>
        <v>33333.333333333328</v>
      </c>
      <c r="CI30" s="305">
        <f t="shared" si="5"/>
        <v>12824.838506666672</v>
      </c>
      <c r="CJ30" s="330">
        <v>30</v>
      </c>
      <c r="CK30" s="324">
        <f t="shared" si="12"/>
        <v>3847.4515520000014</v>
      </c>
      <c r="CL30" s="299">
        <f t="shared" si="13"/>
        <v>595.23809523809518</v>
      </c>
      <c r="CM30" s="338">
        <v>100000</v>
      </c>
      <c r="CO30" s="331">
        <f t="shared" si="14"/>
        <v>8977.386954666672</v>
      </c>
      <c r="CP30" s="359">
        <v>1</v>
      </c>
      <c r="CV30" s="204"/>
      <c r="CY30" s="213">
        <v>16</v>
      </c>
      <c r="CZ30" s="212" t="s">
        <v>182</v>
      </c>
      <c r="DA30" s="212" t="s">
        <v>119</v>
      </c>
      <c r="DB30" s="214">
        <v>42593</v>
      </c>
      <c r="DC30" s="212" t="s">
        <v>90</v>
      </c>
      <c r="DD30" s="215" t="s">
        <v>153</v>
      </c>
      <c r="DE30" s="349">
        <v>15588001</v>
      </c>
      <c r="DF30" s="349">
        <v>3931897</v>
      </c>
      <c r="DG30" s="349">
        <f t="shared" si="18"/>
        <v>11656104</v>
      </c>
      <c r="DH30" s="349">
        <f t="shared" si="19"/>
        <v>3846514.3200000003</v>
      </c>
      <c r="DI30" s="207"/>
      <c r="DJ30" s="207"/>
      <c r="DK30" s="207"/>
      <c r="DL30" s="207" t="s">
        <v>145</v>
      </c>
      <c r="DM30" s="214">
        <v>42593</v>
      </c>
      <c r="DO30" s="103"/>
    </row>
    <row r="31" spans="31:119" ht="22.5" customHeight="1" thickBot="1" x14ac:dyDescent="0.3">
      <c r="AE31" s="213">
        <v>17</v>
      </c>
      <c r="AF31" s="373" t="s">
        <v>24</v>
      </c>
      <c r="AG31" s="375"/>
      <c r="AH31" s="204"/>
      <c r="AI31" s="204"/>
      <c r="AJ31" s="204"/>
      <c r="AK31" s="204"/>
      <c r="AL31" s="204"/>
      <c r="AM31" s="204"/>
      <c r="AN31" s="377"/>
      <c r="AP31" s="361" t="s">
        <v>32</v>
      </c>
      <c r="AQ31" s="48"/>
      <c r="AR31" s="243"/>
      <c r="AS31" s="27"/>
      <c r="AT31" s="28"/>
      <c r="AU31" s="239" t="s">
        <v>34</v>
      </c>
      <c r="AV31" s="7">
        <v>50</v>
      </c>
      <c r="AW31" s="160" t="s">
        <v>29</v>
      </c>
      <c r="AX31" s="29">
        <f>$AT$32*AV31/100</f>
        <v>0.45</v>
      </c>
      <c r="AY31" s="5">
        <f t="shared" si="9"/>
        <v>17309.314440000002</v>
      </c>
      <c r="AZ31" s="6">
        <f>AY31/(CL21*BB31)</f>
        <v>36.349560324000002</v>
      </c>
      <c r="BA31" s="292">
        <f t="shared" si="17"/>
        <v>4.5436950405000003</v>
      </c>
      <c r="BB31" s="32">
        <v>1</v>
      </c>
      <c r="BC31" s="94"/>
      <c r="BD31" s="94"/>
      <c r="BE31" s="94"/>
      <c r="BF31" s="94"/>
      <c r="BG31" s="94"/>
      <c r="BH31" s="94"/>
      <c r="BI31" s="94"/>
      <c r="BJ31" s="94"/>
      <c r="BK31" s="94"/>
      <c r="BL31" s="94"/>
      <c r="BM31" s="94"/>
      <c r="BN31" s="94"/>
      <c r="BO31" s="94"/>
      <c r="BP31" s="94"/>
      <c r="BQ31" s="94"/>
      <c r="BR31" s="94"/>
      <c r="BS31" s="94"/>
      <c r="BT31" s="94"/>
      <c r="BU31" s="94"/>
      <c r="BV31" s="94"/>
      <c r="BW31" s="94"/>
      <c r="BX31" s="94">
        <v>17</v>
      </c>
      <c r="BY31" s="203" t="s">
        <v>24</v>
      </c>
      <c r="BZ31" s="30">
        <f t="shared" si="0"/>
        <v>2.7</v>
      </c>
      <c r="CA31" s="47">
        <f t="shared" si="1"/>
        <v>103855.88664000001</v>
      </c>
      <c r="CB31" s="25">
        <f t="shared" si="20"/>
        <v>218.09736194400003</v>
      </c>
      <c r="CC31" s="26">
        <f t="shared" si="10"/>
        <v>200</v>
      </c>
      <c r="CD31" s="276">
        <f t="shared" si="2"/>
        <v>27.262170243000003</v>
      </c>
      <c r="CE31" s="344">
        <v>25</v>
      </c>
      <c r="CF31" s="276">
        <f t="shared" si="11"/>
        <v>18.097361944000028</v>
      </c>
      <c r="CG31" s="302">
        <f t="shared" si="21"/>
        <v>103855.88664000001</v>
      </c>
      <c r="CH31" s="303">
        <f t="shared" si="22"/>
        <v>95238.095238095237</v>
      </c>
      <c r="CI31" s="305">
        <f t="shared" si="5"/>
        <v>8617.7914019047748</v>
      </c>
      <c r="CJ31" s="330">
        <v>30</v>
      </c>
      <c r="CK31" s="324">
        <f t="shared" si="12"/>
        <v>2585.3374205714326</v>
      </c>
      <c r="CL31" s="299">
        <f t="shared" si="13"/>
        <v>476.1904761904762</v>
      </c>
      <c r="CM31" s="339">
        <v>80000</v>
      </c>
      <c r="CO31" s="331">
        <f t="shared" si="14"/>
        <v>6032.4539813333422</v>
      </c>
      <c r="CP31" s="359">
        <v>1</v>
      </c>
      <c r="CV31" s="204"/>
      <c r="CY31" s="213">
        <v>17</v>
      </c>
      <c r="CZ31" s="212" t="s">
        <v>183</v>
      </c>
      <c r="DA31" s="212" t="s">
        <v>120</v>
      </c>
      <c r="DB31" s="214">
        <v>40766</v>
      </c>
      <c r="DC31" s="212" t="s">
        <v>91</v>
      </c>
      <c r="DD31" s="215" t="s">
        <v>155</v>
      </c>
      <c r="DE31" s="349">
        <v>15588001</v>
      </c>
      <c r="DF31" s="349">
        <v>3931897</v>
      </c>
      <c r="DG31" s="349">
        <f t="shared" si="18"/>
        <v>11656104</v>
      </c>
      <c r="DH31" s="349">
        <f t="shared" si="19"/>
        <v>3846514.3200000003</v>
      </c>
      <c r="DI31" s="207"/>
      <c r="DJ31" s="207"/>
      <c r="DK31" s="207"/>
      <c r="DL31" s="207" t="s">
        <v>145</v>
      </c>
      <c r="DM31" s="214">
        <v>40766</v>
      </c>
    </row>
    <row r="32" spans="31:119" ht="21.75" customHeight="1" thickBot="1" x14ac:dyDescent="0.3">
      <c r="AE32" s="213">
        <v>18</v>
      </c>
      <c r="AF32" s="373" t="s">
        <v>49</v>
      </c>
      <c r="AG32" s="375"/>
      <c r="AH32" s="204"/>
      <c r="AI32" s="204"/>
      <c r="AJ32" s="204"/>
      <c r="AK32" s="204"/>
      <c r="AL32" s="204"/>
      <c r="AM32" s="204"/>
      <c r="AN32" s="377"/>
      <c r="AP32" s="361" t="s">
        <v>32</v>
      </c>
      <c r="AQ32" s="48"/>
      <c r="AR32" s="244"/>
      <c r="AS32" s="27"/>
      <c r="AT32" s="36">
        <f>AR27*AS30/100</f>
        <v>0.9</v>
      </c>
      <c r="AU32" s="239" t="s">
        <v>34</v>
      </c>
      <c r="AV32" s="8"/>
      <c r="AW32" s="37"/>
      <c r="AX32" s="38">
        <f>$AR$27*AV32/100</f>
        <v>0</v>
      </c>
      <c r="AY32" s="10">
        <f t="shared" si="9"/>
        <v>0</v>
      </c>
      <c r="AZ32" s="11">
        <f>AY32/(417*BB32)</f>
        <v>0</v>
      </c>
      <c r="BA32" s="292">
        <f t="shared" si="17"/>
        <v>0</v>
      </c>
      <c r="BB32" s="32">
        <v>1</v>
      </c>
      <c r="BC32" s="94"/>
      <c r="BD32" s="94"/>
      <c r="BE32" s="94"/>
      <c r="BF32" s="94"/>
      <c r="BG32" s="94"/>
      <c r="BH32" s="94"/>
      <c r="BI32" s="94"/>
      <c r="BJ32" s="94"/>
      <c r="BK32" s="94"/>
      <c r="BL32" s="94"/>
      <c r="BM32" s="94"/>
      <c r="BN32" s="94"/>
      <c r="BO32" s="94"/>
      <c r="BP32" s="94"/>
      <c r="BQ32" s="94"/>
      <c r="BR32" s="94"/>
      <c r="BS32" s="94"/>
      <c r="BT32" s="94"/>
      <c r="BU32" s="94"/>
      <c r="BV32" s="94"/>
      <c r="BW32" s="94"/>
      <c r="BX32" s="94">
        <v>18</v>
      </c>
      <c r="BY32" s="203" t="s">
        <v>49</v>
      </c>
      <c r="BZ32" s="30">
        <f t="shared" si="0"/>
        <v>4.7880000000000003</v>
      </c>
      <c r="CA32" s="47">
        <f t="shared" si="1"/>
        <v>184171.10564160004</v>
      </c>
      <c r="CB32" s="25">
        <f t="shared" si="20"/>
        <v>442.01065353984006</v>
      </c>
      <c r="CC32" s="26">
        <f t="shared" si="10"/>
        <v>488</v>
      </c>
      <c r="CD32" s="276">
        <f t="shared" si="2"/>
        <v>55.251331692480008</v>
      </c>
      <c r="CE32" s="344">
        <v>61</v>
      </c>
      <c r="CF32" s="276">
        <f t="shared" si="11"/>
        <v>-45.989346460159936</v>
      </c>
      <c r="CG32" s="302">
        <f t="shared" si="21"/>
        <v>184171.10564160004</v>
      </c>
      <c r="CH32" s="303">
        <f t="shared" si="22"/>
        <v>203333.33333333334</v>
      </c>
      <c r="CI32" s="305">
        <f t="shared" si="5"/>
        <v>-19162.227691733307</v>
      </c>
      <c r="CJ32" s="330">
        <v>30</v>
      </c>
      <c r="CK32" s="324">
        <f t="shared" si="12"/>
        <v>-5748.6683075199917</v>
      </c>
      <c r="CL32" s="299">
        <f t="shared" si="13"/>
        <v>416.66666666666669</v>
      </c>
      <c r="CM32" s="339">
        <v>70000</v>
      </c>
      <c r="CO32" s="331">
        <f t="shared" si="14"/>
        <v>-13413.559384213317</v>
      </c>
      <c r="CP32" s="359">
        <v>1</v>
      </c>
      <c r="CV32" s="204"/>
      <c r="CY32" s="213">
        <v>18</v>
      </c>
      <c r="CZ32" s="212" t="s">
        <v>184</v>
      </c>
      <c r="DA32" s="212" t="s">
        <v>121</v>
      </c>
      <c r="DB32" s="214">
        <v>40401</v>
      </c>
      <c r="DC32" s="212" t="s">
        <v>92</v>
      </c>
      <c r="DD32" s="215" t="s">
        <v>157</v>
      </c>
      <c r="DE32" s="349">
        <v>15588001</v>
      </c>
      <c r="DF32" s="349">
        <v>3931897</v>
      </c>
      <c r="DG32" s="349">
        <f t="shared" si="18"/>
        <v>11656104</v>
      </c>
      <c r="DH32" s="349">
        <f t="shared" si="19"/>
        <v>3846514.3200000003</v>
      </c>
      <c r="DI32" s="207"/>
      <c r="DJ32" s="207"/>
      <c r="DK32" s="207"/>
      <c r="DL32" s="207" t="s">
        <v>145</v>
      </c>
      <c r="DM32" s="214">
        <v>40401</v>
      </c>
    </row>
    <row r="33" spans="31:117" ht="15.75" thickBot="1" x14ac:dyDescent="0.3">
      <c r="AE33" s="213">
        <v>19</v>
      </c>
      <c r="AF33" s="373" t="s">
        <v>50</v>
      </c>
      <c r="AG33" s="375"/>
      <c r="AH33" s="204"/>
      <c r="AI33" s="204"/>
      <c r="AJ33" s="204"/>
      <c r="AK33" s="204"/>
      <c r="AL33" s="204"/>
      <c r="AM33" s="204"/>
      <c r="AN33" s="377"/>
      <c r="AQ33" s="158"/>
      <c r="AR33" s="271" t="s">
        <v>31</v>
      </c>
      <c r="AS33" s="272"/>
      <c r="AT33" s="272"/>
      <c r="AU33" s="273"/>
      <c r="AV33" s="12">
        <f>SUM(AV27:AV32)/2</f>
        <v>100</v>
      </c>
      <c r="AW33" s="13"/>
      <c r="AX33" s="14">
        <f>SUM(AX27:AX32)</f>
        <v>3.0000000000000004</v>
      </c>
      <c r="AY33" s="15">
        <f>SUM(AY24:AY32)</f>
        <v>369265.37472000002</v>
      </c>
      <c r="AZ33" s="16">
        <f>SUM(AZ27:AZ32)</f>
        <v>320.84545245983998</v>
      </c>
      <c r="BA33" s="17">
        <f>SUM(BA27:BA32)</f>
        <v>40.105681557479997</v>
      </c>
      <c r="BB33" s="95"/>
      <c r="BC33" s="95"/>
      <c r="BD33" s="95"/>
      <c r="BE33" s="95"/>
      <c r="BF33" s="95"/>
      <c r="BG33" s="95"/>
      <c r="BH33" s="95"/>
      <c r="BI33" s="95"/>
      <c r="BJ33" s="95"/>
      <c r="BK33" s="95"/>
      <c r="BL33" s="95"/>
      <c r="BM33" s="95"/>
      <c r="BN33" s="95"/>
      <c r="BO33" s="95"/>
      <c r="BP33" s="95"/>
      <c r="BQ33" s="95"/>
      <c r="BR33" s="95"/>
      <c r="BS33" s="95"/>
      <c r="BT33" s="95"/>
      <c r="BU33" s="95"/>
      <c r="BV33" s="95"/>
      <c r="BW33" s="95"/>
      <c r="BX33" s="95">
        <v>19</v>
      </c>
      <c r="BY33" s="203" t="s">
        <v>50</v>
      </c>
      <c r="BZ33" s="30">
        <f t="shared" si="0"/>
        <v>6.48</v>
      </c>
      <c r="CA33" s="47">
        <f t="shared" si="1"/>
        <v>249254.12793600003</v>
      </c>
      <c r="CB33" s="25">
        <f t="shared" si="20"/>
        <v>644.13686556089169</v>
      </c>
      <c r="CC33" s="26">
        <f t="shared" si="10"/>
        <v>720</v>
      </c>
      <c r="CD33" s="276">
        <f t="shared" si="2"/>
        <v>80.517108195111462</v>
      </c>
      <c r="CE33" s="344">
        <v>90</v>
      </c>
      <c r="CF33" s="276">
        <f t="shared" si="11"/>
        <v>-75.863134439108308</v>
      </c>
      <c r="CG33" s="306">
        <f t="shared" si="21"/>
        <v>249254.12793600003</v>
      </c>
      <c r="CH33" s="303">
        <f t="shared" si="22"/>
        <v>278610</v>
      </c>
      <c r="CI33" s="305">
        <f t="shared" si="5"/>
        <v>-29355.872063999952</v>
      </c>
      <c r="CJ33" s="330">
        <v>30</v>
      </c>
      <c r="CK33" s="324">
        <f t="shared" si="12"/>
        <v>-8806.7616191999859</v>
      </c>
      <c r="CL33" s="299">
        <f t="shared" si="13"/>
        <v>386.95833333333331</v>
      </c>
      <c r="CM33" s="339">
        <v>65009</v>
      </c>
      <c r="CO33" s="331">
        <f t="shared" si="14"/>
        <v>-20549.110444799968</v>
      </c>
      <c r="CP33" s="359">
        <v>1</v>
      </c>
      <c r="CV33" s="204"/>
      <c r="CY33" s="213">
        <v>19</v>
      </c>
      <c r="CZ33" s="212" t="s">
        <v>185</v>
      </c>
      <c r="DA33" s="212" t="s">
        <v>122</v>
      </c>
      <c r="DB33" s="214">
        <v>40766</v>
      </c>
      <c r="DC33" s="212" t="s">
        <v>93</v>
      </c>
      <c r="DD33" s="215" t="s">
        <v>159</v>
      </c>
      <c r="DE33" s="349">
        <v>15588001</v>
      </c>
      <c r="DF33" s="349">
        <v>3931897</v>
      </c>
      <c r="DG33" s="349">
        <f t="shared" si="18"/>
        <v>11656104</v>
      </c>
      <c r="DH33" s="349">
        <f t="shared" si="19"/>
        <v>3846514.3200000003</v>
      </c>
      <c r="DI33" s="207"/>
      <c r="DJ33" s="207"/>
      <c r="DK33" s="207"/>
      <c r="DL33" s="207" t="s">
        <v>145</v>
      </c>
      <c r="DM33" s="214">
        <v>40766</v>
      </c>
    </row>
    <row r="34" spans="31:117" ht="15.75" customHeight="1" thickBot="1" x14ac:dyDescent="0.3">
      <c r="AE34" s="213">
        <v>20</v>
      </c>
      <c r="AF34" s="374"/>
      <c r="AG34" s="375"/>
      <c r="AH34" s="204"/>
      <c r="AI34" s="204"/>
      <c r="AJ34" s="204"/>
      <c r="AK34" s="204"/>
      <c r="AL34" s="204"/>
      <c r="AM34" s="204"/>
      <c r="AN34" s="377"/>
      <c r="AQ34" s="137"/>
      <c r="AR34" s="138"/>
      <c r="AS34" s="144"/>
      <c r="AT34" s="138"/>
      <c r="AU34" s="138"/>
      <c r="AV34" s="138" t="s">
        <v>35</v>
      </c>
      <c r="AW34" s="139"/>
      <c r="AX34" s="140"/>
      <c r="AY34" s="141"/>
      <c r="AZ34" s="145"/>
      <c r="BA34" s="146"/>
      <c r="BB34" s="94"/>
      <c r="BC34" s="94"/>
      <c r="BD34" s="94"/>
      <c r="BE34" s="94"/>
      <c r="BF34" s="94"/>
      <c r="BG34" s="94"/>
      <c r="BH34" s="94"/>
      <c r="BI34" s="94"/>
      <c r="BJ34" s="94"/>
      <c r="BK34" s="94"/>
      <c r="BL34" s="94"/>
      <c r="BM34" s="94"/>
      <c r="BN34" s="94"/>
      <c r="BO34" s="94"/>
      <c r="BP34" s="94"/>
      <c r="BQ34" s="94"/>
      <c r="BR34" s="94"/>
      <c r="BS34" s="94"/>
      <c r="BT34" s="94"/>
      <c r="BU34" s="94"/>
      <c r="BV34" s="94"/>
      <c r="BW34" s="94"/>
      <c r="BX34" s="94">
        <v>20</v>
      </c>
      <c r="BY34" s="249"/>
      <c r="BZ34" s="250"/>
      <c r="CA34" s="251"/>
      <c r="CB34" s="25">
        <f t="shared" si="20"/>
        <v>0</v>
      </c>
      <c r="CC34" s="26">
        <f t="shared" si="10"/>
        <v>0</v>
      </c>
      <c r="CD34" s="277"/>
      <c r="CE34" s="345"/>
      <c r="CF34" s="277">
        <f t="shared" si="11"/>
        <v>0</v>
      </c>
      <c r="CG34" s="307">
        <f t="shared" si="21"/>
        <v>0</v>
      </c>
      <c r="CH34" s="308">
        <f t="shared" si="22"/>
        <v>0</v>
      </c>
      <c r="CI34" s="305">
        <f t="shared" si="5"/>
        <v>0</v>
      </c>
      <c r="CJ34" s="330">
        <v>30</v>
      </c>
      <c r="CK34" s="324">
        <f t="shared" si="12"/>
        <v>0</v>
      </c>
      <c r="CL34" s="299">
        <f>(CM34/21)/8</f>
        <v>5.9523809523809521E-3</v>
      </c>
      <c r="CM34" s="339">
        <v>1</v>
      </c>
      <c r="CO34" s="331">
        <f t="shared" si="14"/>
        <v>0</v>
      </c>
      <c r="CP34" s="359">
        <v>1</v>
      </c>
      <c r="CV34" s="204"/>
      <c r="CY34" s="213">
        <v>20</v>
      </c>
      <c r="CZ34" s="212" t="s">
        <v>186</v>
      </c>
      <c r="DA34" s="212" t="s">
        <v>123</v>
      </c>
      <c r="DB34" s="214">
        <v>41132</v>
      </c>
      <c r="DC34" s="212" t="s">
        <v>94</v>
      </c>
      <c r="DD34" s="215" t="s">
        <v>161</v>
      </c>
      <c r="DE34" s="349">
        <v>15588001</v>
      </c>
      <c r="DF34" s="349">
        <v>3931897</v>
      </c>
      <c r="DG34" s="349">
        <f t="shared" si="18"/>
        <v>11656104</v>
      </c>
      <c r="DH34" s="349">
        <f t="shared" si="19"/>
        <v>3846514.3200000003</v>
      </c>
      <c r="DI34" s="207"/>
      <c r="DJ34" s="207"/>
      <c r="DK34" s="207"/>
      <c r="DL34" s="207" t="s">
        <v>145</v>
      </c>
      <c r="DM34" s="214">
        <v>41132</v>
      </c>
    </row>
    <row r="35" spans="31:117" ht="12" customHeight="1" thickBot="1" x14ac:dyDescent="0.3">
      <c r="AE35" s="213">
        <v>21</v>
      </c>
      <c r="AG35" s="375"/>
      <c r="AH35" s="204"/>
      <c r="AI35" s="204"/>
      <c r="AJ35" s="204"/>
      <c r="AK35" s="204"/>
      <c r="AL35" s="204"/>
      <c r="AM35" s="204"/>
      <c r="AN35" s="377"/>
      <c r="AP35" s="361" t="s">
        <v>35</v>
      </c>
      <c r="AQ35" s="58">
        <v>3</v>
      </c>
      <c r="AR35" s="242">
        <v>42</v>
      </c>
      <c r="AS35" s="27">
        <v>2</v>
      </c>
      <c r="AT35" s="2"/>
      <c r="AU35" s="240" t="s">
        <v>36</v>
      </c>
      <c r="AV35" s="39">
        <v>100</v>
      </c>
      <c r="AW35" s="165" t="s">
        <v>26</v>
      </c>
      <c r="AX35" s="20">
        <f>$AT$36*AV35/100</f>
        <v>0.84</v>
      </c>
      <c r="AY35" s="21">
        <f t="shared" si="9"/>
        <v>32310.720288</v>
      </c>
      <c r="AZ35" s="6">
        <f>AY35/(CL18*BB35)</f>
        <v>90.470016806399997</v>
      </c>
      <c r="BA35" s="292">
        <f t="shared" si="17"/>
        <v>11.3087521008</v>
      </c>
      <c r="BB35" s="32">
        <v>1</v>
      </c>
      <c r="BC35" s="94"/>
      <c r="BD35" s="94"/>
      <c r="BE35" s="94"/>
      <c r="BF35" s="94"/>
      <c r="BG35" s="94"/>
      <c r="BH35" s="94"/>
      <c r="BI35" s="94"/>
      <c r="BJ35" s="94"/>
      <c r="BK35" s="94"/>
      <c r="BL35" s="94"/>
      <c r="BM35" s="94"/>
      <c r="BN35" s="94"/>
      <c r="BO35" s="94"/>
      <c r="BP35" s="94"/>
      <c r="BQ35" s="94"/>
      <c r="BR35" s="94"/>
      <c r="BS35" s="94"/>
      <c r="BT35" s="94"/>
      <c r="BU35" s="94"/>
      <c r="BV35" s="94"/>
      <c r="BW35" s="94"/>
      <c r="BX35" s="94">
        <v>21</v>
      </c>
      <c r="BY35" s="252"/>
      <c r="BZ35" s="253"/>
      <c r="CA35" s="254"/>
      <c r="CB35" s="25"/>
      <c r="CC35" s="26"/>
      <c r="CD35" s="278"/>
      <c r="CE35" s="345"/>
      <c r="CF35" s="278"/>
      <c r="CG35" s="309"/>
      <c r="CH35" s="310"/>
      <c r="CI35" s="311"/>
      <c r="CJ35" s="330">
        <v>30</v>
      </c>
      <c r="CK35" s="325">
        <f t="shared" si="12"/>
        <v>0</v>
      </c>
      <c r="CL35" s="112"/>
      <c r="CM35" s="340"/>
      <c r="CO35" s="331">
        <f>CI35-CK35</f>
        <v>0</v>
      </c>
      <c r="CP35" s="359">
        <v>1</v>
      </c>
      <c r="CV35" s="204"/>
      <c r="CY35" s="213">
        <v>21</v>
      </c>
      <c r="CZ35" s="212" t="s">
        <v>187</v>
      </c>
      <c r="DA35" s="212" t="s">
        <v>124</v>
      </c>
      <c r="DB35" s="214">
        <v>41497</v>
      </c>
      <c r="DC35" s="212" t="s">
        <v>95</v>
      </c>
      <c r="DD35" s="215" t="s">
        <v>153</v>
      </c>
      <c r="DE35" s="349">
        <v>15588001</v>
      </c>
      <c r="DF35" s="349">
        <v>3931897</v>
      </c>
      <c r="DG35" s="349">
        <f t="shared" si="18"/>
        <v>11656104</v>
      </c>
      <c r="DH35" s="349">
        <f t="shared" si="19"/>
        <v>3846514.3200000003</v>
      </c>
      <c r="DI35" s="207"/>
      <c r="DJ35" s="207"/>
      <c r="DK35" s="207"/>
      <c r="DL35" s="207" t="s">
        <v>145</v>
      </c>
      <c r="DM35" s="214">
        <v>41497</v>
      </c>
    </row>
    <row r="36" spans="31:117" ht="12" customHeight="1" thickBot="1" x14ac:dyDescent="0.3">
      <c r="AE36" s="213">
        <v>22</v>
      </c>
      <c r="AG36" s="375"/>
      <c r="AH36" s="204"/>
      <c r="AI36" s="204"/>
      <c r="AJ36" s="204"/>
      <c r="AK36" s="204"/>
      <c r="AL36" s="204"/>
      <c r="AM36" s="204"/>
      <c r="AN36" s="377"/>
      <c r="AP36" s="361" t="s">
        <v>35</v>
      </c>
      <c r="AQ36" s="48"/>
      <c r="AR36" s="243"/>
      <c r="AS36" s="27"/>
      <c r="AT36" s="33">
        <f>AR35*AS35/100</f>
        <v>0.84</v>
      </c>
      <c r="AU36" s="241"/>
      <c r="AV36" s="40"/>
      <c r="AW36" s="166"/>
      <c r="AX36" s="29">
        <f>$AR$16*AV36/100</f>
        <v>0</v>
      </c>
      <c r="AY36" s="5">
        <f t="shared" si="9"/>
        <v>0</v>
      </c>
      <c r="AZ36" s="6">
        <f>AY36/(417*BB36)</f>
        <v>0</v>
      </c>
      <c r="BA36" s="292">
        <f t="shared" si="17"/>
        <v>0</v>
      </c>
      <c r="BB36" s="32">
        <v>1</v>
      </c>
      <c r="BC36" s="94"/>
      <c r="BD36" s="94"/>
      <c r="BE36" s="94"/>
      <c r="BF36" s="94"/>
      <c r="BG36" s="94"/>
      <c r="BH36" s="94"/>
      <c r="BI36" s="94"/>
      <c r="BJ36" s="94"/>
      <c r="BK36" s="94"/>
      <c r="BL36" s="94"/>
      <c r="BM36" s="94"/>
      <c r="BN36" s="94"/>
      <c r="BO36" s="94"/>
      <c r="BP36" s="94"/>
      <c r="BQ36" s="94"/>
      <c r="BR36" s="94"/>
      <c r="BS36" s="94"/>
      <c r="BT36" s="94"/>
      <c r="BU36" s="94"/>
      <c r="BV36" s="94"/>
      <c r="BW36" s="94"/>
      <c r="BX36" s="94">
        <v>22</v>
      </c>
      <c r="BY36" s="252"/>
      <c r="BZ36" s="253"/>
      <c r="CA36" s="254"/>
      <c r="CB36" s="25"/>
      <c r="CC36" s="26"/>
      <c r="CD36" s="278"/>
      <c r="CE36" s="345"/>
      <c r="CF36" s="278"/>
      <c r="CG36" s="309"/>
      <c r="CH36" s="310"/>
      <c r="CI36" s="311"/>
      <c r="CJ36" s="327"/>
      <c r="CK36" s="325"/>
      <c r="CL36" s="112"/>
      <c r="CM36" s="340"/>
      <c r="CO36" s="204"/>
      <c r="CP36" s="359">
        <v>1</v>
      </c>
      <c r="CV36" s="204"/>
      <c r="CY36" s="213">
        <v>22</v>
      </c>
      <c r="CZ36" s="212" t="s">
        <v>188</v>
      </c>
      <c r="DA36" s="212" t="s">
        <v>125</v>
      </c>
      <c r="DB36" s="214">
        <v>41862</v>
      </c>
      <c r="DC36" s="212" t="s">
        <v>96</v>
      </c>
      <c r="DD36" s="215" t="s">
        <v>155</v>
      </c>
      <c r="DE36" s="349">
        <v>15588001</v>
      </c>
      <c r="DF36" s="349">
        <v>3931897</v>
      </c>
      <c r="DG36" s="349">
        <f t="shared" si="18"/>
        <v>11656104</v>
      </c>
      <c r="DH36" s="349">
        <f t="shared" si="19"/>
        <v>3846514.3200000003</v>
      </c>
      <c r="DI36" s="207"/>
      <c r="DJ36" s="207"/>
      <c r="DK36" s="207"/>
      <c r="DL36" s="207" t="s">
        <v>145</v>
      </c>
      <c r="DM36" s="214">
        <v>41862</v>
      </c>
    </row>
    <row r="37" spans="31:117" ht="12" customHeight="1" thickBot="1" x14ac:dyDescent="0.3">
      <c r="AE37" s="213">
        <v>23</v>
      </c>
      <c r="AG37" s="375"/>
      <c r="AH37" s="204"/>
      <c r="AI37" s="204"/>
      <c r="AJ37" s="204"/>
      <c r="AK37" s="204"/>
      <c r="AL37" s="204"/>
      <c r="AM37" s="204"/>
      <c r="AN37" s="377"/>
      <c r="AP37" s="361" t="s">
        <v>35</v>
      </c>
      <c r="AQ37" s="48"/>
      <c r="AR37" s="243"/>
      <c r="AS37" s="41">
        <v>6</v>
      </c>
      <c r="AT37" s="2"/>
      <c r="AU37" s="240" t="s">
        <v>39</v>
      </c>
      <c r="AV37" s="42">
        <v>100</v>
      </c>
      <c r="AW37" s="167" t="s">
        <v>30</v>
      </c>
      <c r="AX37" s="29">
        <f>$AT$38*AV37/100</f>
        <v>2.52</v>
      </c>
      <c r="AY37" s="5">
        <f t="shared" si="9"/>
        <v>96932.160864000005</v>
      </c>
      <c r="AZ37" s="6">
        <f>AY37/(CL22*BB37)</f>
        <v>232.63718607359999</v>
      </c>
      <c r="BA37" s="292">
        <f t="shared" si="17"/>
        <v>29.079648259199999</v>
      </c>
      <c r="BB37" s="32">
        <v>1</v>
      </c>
      <c r="BC37" s="94"/>
      <c r="BD37" s="94"/>
      <c r="BE37" s="94"/>
      <c r="BF37" s="94"/>
      <c r="BG37" s="94"/>
      <c r="BH37" s="94"/>
      <c r="BI37" s="94"/>
      <c r="BJ37" s="94"/>
      <c r="BK37" s="94"/>
      <c r="BL37" s="94"/>
      <c r="BM37" s="94"/>
      <c r="BN37" s="94"/>
      <c r="BO37" s="94"/>
      <c r="BP37" s="94"/>
      <c r="BQ37" s="94"/>
      <c r="BR37" s="94"/>
      <c r="BS37" s="94"/>
      <c r="BT37" s="94"/>
      <c r="BU37" s="94"/>
      <c r="BV37" s="94"/>
      <c r="BW37" s="94"/>
      <c r="BX37" s="94">
        <v>23</v>
      </c>
      <c r="BY37" s="252"/>
      <c r="BZ37" s="253"/>
      <c r="CA37" s="254"/>
      <c r="CB37" s="25"/>
      <c r="CC37" s="26"/>
      <c r="CD37" s="278"/>
      <c r="CE37" s="345"/>
      <c r="CF37" s="278"/>
      <c r="CG37" s="309"/>
      <c r="CH37" s="310"/>
      <c r="CI37" s="311"/>
      <c r="CJ37" s="327"/>
      <c r="CK37" s="325"/>
      <c r="CL37" s="112"/>
      <c r="CM37" s="340"/>
      <c r="CO37" s="204"/>
      <c r="CP37" s="359">
        <v>1</v>
      </c>
      <c r="CV37" s="204"/>
      <c r="CY37" s="213">
        <v>23</v>
      </c>
      <c r="CZ37" s="212" t="s">
        <v>189</v>
      </c>
      <c r="DA37" s="212" t="s">
        <v>126</v>
      </c>
      <c r="DB37" s="214">
        <v>40401</v>
      </c>
      <c r="DC37" s="212" t="s">
        <v>97</v>
      </c>
      <c r="DD37" s="215" t="s">
        <v>157</v>
      </c>
      <c r="DE37" s="349">
        <v>15588001</v>
      </c>
      <c r="DF37" s="349">
        <v>3931897</v>
      </c>
      <c r="DG37" s="349">
        <f t="shared" si="18"/>
        <v>11656104</v>
      </c>
      <c r="DH37" s="349">
        <f t="shared" si="19"/>
        <v>3846514.3200000003</v>
      </c>
      <c r="DI37" s="207"/>
      <c r="DJ37" s="207"/>
      <c r="DK37" s="207"/>
      <c r="DL37" s="207" t="s">
        <v>145</v>
      </c>
      <c r="DM37" s="214">
        <v>40401</v>
      </c>
    </row>
    <row r="38" spans="31:117" ht="12" customHeight="1" thickBot="1" x14ac:dyDescent="0.3">
      <c r="AE38" s="213">
        <v>24</v>
      </c>
      <c r="AG38" s="375"/>
      <c r="AH38" s="204"/>
      <c r="AI38" s="204"/>
      <c r="AJ38" s="204"/>
      <c r="AK38" s="204"/>
      <c r="AL38" s="204"/>
      <c r="AM38" s="204"/>
      <c r="AN38" s="377"/>
      <c r="AP38" s="361" t="s">
        <v>35</v>
      </c>
      <c r="AQ38" s="48"/>
      <c r="AR38" s="243"/>
      <c r="AS38" s="27"/>
      <c r="AT38" s="33">
        <f>AR35*AS37/100</f>
        <v>2.52</v>
      </c>
      <c r="AU38" s="240" t="s">
        <v>39</v>
      </c>
      <c r="AV38" s="43"/>
      <c r="AW38" s="168"/>
      <c r="AX38" s="29">
        <f>$AR$16*AV38/100</f>
        <v>0</v>
      </c>
      <c r="AY38" s="5">
        <f t="shared" si="9"/>
        <v>0</v>
      </c>
      <c r="AZ38" s="6">
        <f>AY38/(417*BB38)</f>
        <v>0</v>
      </c>
      <c r="BA38" s="292">
        <f t="shared" si="17"/>
        <v>0</v>
      </c>
      <c r="BB38" s="32">
        <v>1</v>
      </c>
      <c r="BC38" s="94"/>
      <c r="BD38" s="94"/>
      <c r="BE38" s="94"/>
      <c r="BF38" s="94"/>
      <c r="BG38" s="94"/>
      <c r="BH38" s="94"/>
      <c r="BI38" s="94"/>
      <c r="BJ38" s="94"/>
      <c r="BK38" s="94"/>
      <c r="BL38" s="94"/>
      <c r="BM38" s="94"/>
      <c r="BN38" s="94"/>
      <c r="BO38" s="94"/>
      <c r="BP38" s="94"/>
      <c r="BQ38" s="94"/>
      <c r="BR38" s="94"/>
      <c r="BS38" s="94"/>
      <c r="BT38" s="94"/>
      <c r="BU38" s="94"/>
      <c r="BV38" s="94"/>
      <c r="BW38" s="94"/>
      <c r="BX38" s="94">
        <v>24</v>
      </c>
      <c r="BY38" s="255"/>
      <c r="BZ38" s="253"/>
      <c r="CA38" s="254"/>
      <c r="CB38" s="25"/>
      <c r="CC38" s="26"/>
      <c r="CD38" s="278"/>
      <c r="CE38" s="345"/>
      <c r="CF38" s="278"/>
      <c r="CG38" s="309"/>
      <c r="CH38" s="310"/>
      <c r="CI38" s="311"/>
      <c r="CJ38" s="327"/>
      <c r="CK38" s="325"/>
      <c r="CL38" s="112"/>
      <c r="CM38" s="340"/>
      <c r="CO38" s="204"/>
      <c r="CP38" s="359">
        <v>1</v>
      </c>
      <c r="CV38" s="204"/>
      <c r="CY38" s="213">
        <v>24</v>
      </c>
      <c r="CZ38" s="212" t="s">
        <v>190</v>
      </c>
      <c r="DA38" s="212" t="s">
        <v>122</v>
      </c>
      <c r="DB38" s="214">
        <v>40766</v>
      </c>
      <c r="DC38" s="212" t="s">
        <v>98</v>
      </c>
      <c r="DD38" s="215" t="s">
        <v>159</v>
      </c>
      <c r="DE38" s="349">
        <v>15588001</v>
      </c>
      <c r="DF38" s="349">
        <v>3931897</v>
      </c>
      <c r="DG38" s="349">
        <f t="shared" si="18"/>
        <v>11656104</v>
      </c>
      <c r="DH38" s="349">
        <f t="shared" si="19"/>
        <v>3846514.3200000003</v>
      </c>
      <c r="DI38" s="207"/>
      <c r="DJ38" s="207"/>
      <c r="DK38" s="207"/>
      <c r="DL38" s="207" t="s">
        <v>145</v>
      </c>
      <c r="DM38" s="214">
        <v>40766</v>
      </c>
    </row>
    <row r="39" spans="31:117" ht="12" customHeight="1" thickBot="1" x14ac:dyDescent="0.3">
      <c r="AE39" s="213">
        <v>25</v>
      </c>
      <c r="AG39" s="375"/>
      <c r="AH39" s="204"/>
      <c r="AI39" s="204"/>
      <c r="AJ39" s="204"/>
      <c r="AK39" s="204"/>
      <c r="AL39" s="204"/>
      <c r="AM39" s="204"/>
      <c r="AN39" s="377"/>
      <c r="AP39" s="361" t="s">
        <v>35</v>
      </c>
      <c r="AQ39" s="48"/>
      <c r="AR39" s="243"/>
      <c r="AS39" s="41">
        <v>5</v>
      </c>
      <c r="AT39" s="2"/>
      <c r="AU39" s="240" t="s">
        <v>42</v>
      </c>
      <c r="AV39" s="44">
        <v>100</v>
      </c>
      <c r="AW39" s="169" t="s">
        <v>29</v>
      </c>
      <c r="AX39" s="29">
        <f>$AT$40*AV39/100</f>
        <v>2.1</v>
      </c>
      <c r="AY39" s="5">
        <f t="shared" si="9"/>
        <v>80776.800719999999</v>
      </c>
      <c r="AZ39" s="6">
        <f>AY39/(CL21*BB39)</f>
        <v>169.63128151199999</v>
      </c>
      <c r="BA39" s="292">
        <f t="shared" si="17"/>
        <v>21.203910188999998</v>
      </c>
      <c r="BB39" s="32">
        <v>1</v>
      </c>
      <c r="BC39" s="94"/>
      <c r="BD39" s="94"/>
      <c r="BE39" s="94"/>
      <c r="BF39" s="94"/>
      <c r="BG39" s="94"/>
      <c r="BH39" s="94"/>
      <c r="BI39" s="94"/>
      <c r="BJ39" s="94"/>
      <c r="BK39" s="94"/>
      <c r="BL39" s="94"/>
      <c r="BM39" s="94"/>
      <c r="BN39" s="94"/>
      <c r="BO39" s="94"/>
      <c r="BP39" s="94"/>
      <c r="BQ39" s="94"/>
      <c r="BR39" s="94"/>
      <c r="BS39" s="94"/>
      <c r="BT39" s="94"/>
      <c r="BU39" s="94"/>
      <c r="BV39" s="94"/>
      <c r="BW39" s="94"/>
      <c r="BX39" s="94">
        <v>25</v>
      </c>
      <c r="BY39" s="255"/>
      <c r="BZ39" s="253"/>
      <c r="CA39" s="254"/>
      <c r="CB39" s="25"/>
      <c r="CC39" s="26"/>
      <c r="CD39" s="278"/>
      <c r="CE39" s="345"/>
      <c r="CF39" s="278"/>
      <c r="CG39" s="309"/>
      <c r="CH39" s="310"/>
      <c r="CI39" s="311"/>
      <c r="CJ39" s="327"/>
      <c r="CK39" s="325"/>
      <c r="CL39" s="112"/>
      <c r="CM39" s="340"/>
      <c r="CO39" s="204"/>
      <c r="CP39" s="359">
        <v>1</v>
      </c>
      <c r="CV39" s="204"/>
      <c r="CY39" s="213">
        <v>25</v>
      </c>
      <c r="CZ39" s="212" t="s">
        <v>191</v>
      </c>
      <c r="DA39" s="212" t="s">
        <v>127</v>
      </c>
      <c r="DB39" s="214">
        <v>41132</v>
      </c>
      <c r="DC39" s="212" t="s">
        <v>99</v>
      </c>
      <c r="DD39" s="215" t="s">
        <v>161</v>
      </c>
      <c r="DE39" s="349">
        <v>15588001</v>
      </c>
      <c r="DF39" s="349">
        <v>3931897</v>
      </c>
      <c r="DG39" s="349">
        <f t="shared" si="18"/>
        <v>11656104</v>
      </c>
      <c r="DH39" s="349">
        <f t="shared" si="19"/>
        <v>3846514.3200000003</v>
      </c>
      <c r="DI39" s="207"/>
      <c r="DJ39" s="207"/>
      <c r="DK39" s="207"/>
      <c r="DL39" s="207" t="s">
        <v>145</v>
      </c>
      <c r="DM39" s="214">
        <v>41132</v>
      </c>
    </row>
    <row r="40" spans="31:117" ht="12" customHeight="1" thickBot="1" x14ac:dyDescent="0.3">
      <c r="AE40" s="213">
        <v>26</v>
      </c>
      <c r="AG40" s="375"/>
      <c r="AH40" s="204"/>
      <c r="AI40" s="204"/>
      <c r="AJ40" s="204"/>
      <c r="AK40" s="204"/>
      <c r="AL40" s="204"/>
      <c r="AM40" s="204"/>
      <c r="AN40" s="377"/>
      <c r="AP40" s="361" t="s">
        <v>35</v>
      </c>
      <c r="AQ40" s="48"/>
      <c r="AR40" s="243"/>
      <c r="AS40" s="27"/>
      <c r="AT40" s="33">
        <f>AR35*AS39/100</f>
        <v>2.1</v>
      </c>
      <c r="AU40" s="240" t="s">
        <v>42</v>
      </c>
      <c r="AV40" s="40"/>
      <c r="AW40" s="170"/>
      <c r="AX40" s="29">
        <f>$AR$16*AV40/100</f>
        <v>0</v>
      </c>
      <c r="AY40" s="5">
        <f t="shared" si="9"/>
        <v>0</v>
      </c>
      <c r="AZ40" s="6">
        <f>AY40/(417*BB40)</f>
        <v>0</v>
      </c>
      <c r="BA40" s="292">
        <f t="shared" si="17"/>
        <v>0</v>
      </c>
      <c r="BB40" s="32">
        <v>1</v>
      </c>
      <c r="BC40" s="94"/>
      <c r="BD40" s="94"/>
      <c r="BE40" s="94"/>
      <c r="BF40" s="94"/>
      <c r="BG40" s="94"/>
      <c r="BH40" s="94"/>
      <c r="BI40" s="94"/>
      <c r="BJ40" s="94"/>
      <c r="BK40" s="94"/>
      <c r="BL40" s="94"/>
      <c r="BM40" s="94"/>
      <c r="BN40" s="94"/>
      <c r="BO40" s="94"/>
      <c r="BP40" s="94"/>
      <c r="BQ40" s="94"/>
      <c r="BR40" s="94"/>
      <c r="BS40" s="94"/>
      <c r="BT40" s="94"/>
      <c r="BU40" s="94"/>
      <c r="BV40" s="94"/>
      <c r="BW40" s="94"/>
      <c r="BX40" s="94">
        <v>26</v>
      </c>
      <c r="BY40" s="252"/>
      <c r="BZ40" s="253"/>
      <c r="CA40" s="254"/>
      <c r="CB40" s="25"/>
      <c r="CC40" s="26"/>
      <c r="CD40" s="278"/>
      <c r="CE40" s="345"/>
      <c r="CF40" s="278"/>
      <c r="CG40" s="309"/>
      <c r="CH40" s="310"/>
      <c r="CI40" s="311"/>
      <c r="CJ40" s="327"/>
      <c r="CK40" s="325"/>
      <c r="CL40" s="112"/>
      <c r="CM40" s="340"/>
      <c r="CO40" s="204"/>
      <c r="CP40" s="359">
        <v>1</v>
      </c>
      <c r="CV40" s="204"/>
      <c r="CY40" s="213">
        <v>26</v>
      </c>
      <c r="CZ40" s="212" t="s">
        <v>192</v>
      </c>
      <c r="DA40" s="212" t="s">
        <v>215</v>
      </c>
      <c r="DB40" s="214" t="s">
        <v>216</v>
      </c>
      <c r="DC40" s="212" t="s">
        <v>100</v>
      </c>
      <c r="DD40" s="215" t="s">
        <v>153</v>
      </c>
      <c r="DE40" s="349">
        <v>15588001</v>
      </c>
      <c r="DF40" s="349">
        <v>3931897</v>
      </c>
      <c r="DG40" s="349">
        <f t="shared" si="18"/>
        <v>11656104</v>
      </c>
      <c r="DH40" s="349">
        <f t="shared" si="19"/>
        <v>3846514.3200000003</v>
      </c>
      <c r="DI40" s="207"/>
      <c r="DJ40" s="207"/>
      <c r="DK40" s="207"/>
      <c r="DL40" s="207" t="s">
        <v>145</v>
      </c>
      <c r="DM40" s="214" t="s">
        <v>214</v>
      </c>
    </row>
    <row r="41" spans="31:117" ht="12" customHeight="1" thickBot="1" x14ac:dyDescent="0.3">
      <c r="AE41" s="213">
        <v>27</v>
      </c>
      <c r="AG41" s="375"/>
      <c r="AH41" s="204"/>
      <c r="AI41" s="204"/>
      <c r="AJ41" s="204"/>
      <c r="AK41" s="204"/>
      <c r="AL41" s="204"/>
      <c r="AM41" s="204"/>
      <c r="AN41" s="377"/>
      <c r="AP41" s="361" t="s">
        <v>35</v>
      </c>
      <c r="AQ41" s="48"/>
      <c r="AR41" s="243"/>
      <c r="AS41" s="41">
        <v>8</v>
      </c>
      <c r="AT41" s="2"/>
      <c r="AU41" s="240" t="s">
        <v>45</v>
      </c>
      <c r="AV41" s="45">
        <v>50</v>
      </c>
      <c r="AW41" s="171" t="s">
        <v>37</v>
      </c>
      <c r="AX41" s="29">
        <f>$AT$42*AV41/100</f>
        <v>1.68</v>
      </c>
      <c r="AY41" s="5">
        <f t="shared" si="9"/>
        <v>64621.440576000001</v>
      </c>
      <c r="AZ41" s="32">
        <f>AY41/(CL23*BB41)</f>
        <v>180.94003361279999</v>
      </c>
      <c r="BA41" s="292">
        <f t="shared" si="17"/>
        <v>22.617504201599999</v>
      </c>
      <c r="BB41" s="32">
        <v>1</v>
      </c>
      <c r="BC41" s="94"/>
      <c r="BD41" s="94"/>
      <c r="BE41" s="94"/>
      <c r="BF41" s="94"/>
      <c r="BG41" s="94"/>
      <c r="BH41" s="94"/>
      <c r="BI41" s="94"/>
      <c r="BJ41" s="94"/>
      <c r="BK41" s="94"/>
      <c r="BL41" s="94"/>
      <c r="BM41" s="94"/>
      <c r="BN41" s="94"/>
      <c r="BO41" s="94"/>
      <c r="BP41" s="94"/>
      <c r="BQ41" s="94"/>
      <c r="BR41" s="94"/>
      <c r="BS41" s="94"/>
      <c r="BT41" s="94"/>
      <c r="BU41" s="94"/>
      <c r="BV41" s="94"/>
      <c r="BW41" s="94"/>
      <c r="BX41" s="94"/>
      <c r="BY41" s="256"/>
      <c r="BZ41" s="253"/>
      <c r="CA41" s="254"/>
      <c r="CB41" s="25"/>
      <c r="CC41" s="26"/>
      <c r="CD41" s="278"/>
      <c r="CE41" s="345"/>
      <c r="CF41" s="278"/>
      <c r="CG41" s="309"/>
      <c r="CH41" s="310"/>
      <c r="CI41" s="311"/>
      <c r="CJ41" s="327"/>
      <c r="CK41" s="325"/>
      <c r="CL41" s="112"/>
      <c r="CM41" s="340"/>
      <c r="CO41" s="204"/>
      <c r="CP41" s="359">
        <v>1</v>
      </c>
      <c r="CV41" s="204"/>
      <c r="CY41" s="213">
        <v>27</v>
      </c>
      <c r="CZ41" s="212" t="s">
        <v>218</v>
      </c>
      <c r="DA41" s="212" t="s">
        <v>128</v>
      </c>
      <c r="DB41" s="214" t="s">
        <v>211</v>
      </c>
      <c r="DC41" s="212" t="s">
        <v>101</v>
      </c>
      <c r="DD41" s="215" t="s">
        <v>155</v>
      </c>
      <c r="DE41" s="349">
        <v>15588001</v>
      </c>
      <c r="DF41" s="349">
        <v>3931897</v>
      </c>
      <c r="DG41" s="349">
        <f t="shared" si="18"/>
        <v>11656104</v>
      </c>
      <c r="DH41" s="349">
        <f t="shared" si="19"/>
        <v>3846514.3200000003</v>
      </c>
      <c r="DI41" s="207"/>
      <c r="DJ41" s="207"/>
      <c r="DK41" s="207"/>
      <c r="DL41" s="207" t="s">
        <v>145</v>
      </c>
      <c r="DM41" s="214" t="s">
        <v>217</v>
      </c>
    </row>
    <row r="42" spans="31:117" ht="19.5" customHeight="1" thickBot="1" x14ac:dyDescent="0.3">
      <c r="AE42" s="213">
        <v>28</v>
      </c>
      <c r="AG42" s="378"/>
      <c r="AH42" s="379"/>
      <c r="AI42" s="379"/>
      <c r="AJ42" s="12">
        <f>SUM(AJ15:AJ41)</f>
        <v>30</v>
      </c>
      <c r="AK42" s="12">
        <f>SUM(AK15:AK41)</f>
        <v>2.4</v>
      </c>
      <c r="AL42" s="12">
        <f>SUM(AL15:AL41)</f>
        <v>92316.343680000005</v>
      </c>
      <c r="AM42" s="12">
        <f>SUM(AM15:AM41)</f>
        <v>310.18291476480005</v>
      </c>
      <c r="AN42" s="12">
        <f>SUM(AN15:AN41)</f>
        <v>38.772864345600006</v>
      </c>
      <c r="AP42" s="361" t="s">
        <v>35</v>
      </c>
      <c r="AQ42" s="48"/>
      <c r="AR42" s="243"/>
      <c r="AS42" s="27"/>
      <c r="AT42" s="33">
        <f>AR35*AS41/100</f>
        <v>3.36</v>
      </c>
      <c r="AU42" s="240" t="s">
        <v>45</v>
      </c>
      <c r="AV42" s="43">
        <v>50</v>
      </c>
      <c r="AW42" s="172" t="s">
        <v>29</v>
      </c>
      <c r="AX42" s="29">
        <f>$AT$42*AV42/100</f>
        <v>1.68</v>
      </c>
      <c r="AY42" s="5">
        <f t="shared" si="9"/>
        <v>64621.440576000001</v>
      </c>
      <c r="AZ42" s="6">
        <f>AY42/(CL21*BB42)</f>
        <v>135.7050252096</v>
      </c>
      <c r="BA42" s="292">
        <f t="shared" si="17"/>
        <v>16.963128151199999</v>
      </c>
      <c r="BB42" s="32">
        <v>1</v>
      </c>
      <c r="BC42" s="94"/>
      <c r="BD42" s="94"/>
      <c r="BE42" s="94"/>
      <c r="BF42" s="94"/>
      <c r="BG42" s="94"/>
      <c r="BH42" s="94"/>
      <c r="BI42" s="94"/>
      <c r="BJ42" s="94"/>
      <c r="BK42" s="94"/>
      <c r="BL42" s="94"/>
      <c r="BM42" s="94"/>
      <c r="BN42" s="94"/>
      <c r="BO42" s="94"/>
      <c r="BP42" s="94"/>
      <c r="BQ42" s="94"/>
      <c r="BR42" s="94"/>
      <c r="BS42" s="94"/>
      <c r="BT42" s="94"/>
      <c r="BU42" s="94"/>
      <c r="BV42" s="94"/>
      <c r="BW42" s="94"/>
      <c r="BX42" s="94"/>
      <c r="BY42" s="257"/>
      <c r="BZ42" s="253"/>
      <c r="CA42" s="254"/>
      <c r="CB42" s="25"/>
      <c r="CC42" s="26"/>
      <c r="CD42" s="278"/>
      <c r="CE42" s="345"/>
      <c r="CF42" s="278"/>
      <c r="CG42" s="309"/>
      <c r="CH42" s="310"/>
      <c r="CI42" s="311"/>
      <c r="CJ42" s="327"/>
      <c r="CK42" s="325"/>
      <c r="CL42" s="112"/>
      <c r="CM42" s="340"/>
      <c r="CO42" s="204"/>
      <c r="CP42" s="359">
        <v>1</v>
      </c>
      <c r="CV42" s="204"/>
      <c r="CY42" s="213">
        <v>28</v>
      </c>
      <c r="CZ42" s="212" t="s">
        <v>193</v>
      </c>
      <c r="DA42" s="212" t="s">
        <v>129</v>
      </c>
      <c r="DB42" s="214">
        <v>42227</v>
      </c>
      <c r="DC42" s="212" t="s">
        <v>102</v>
      </c>
      <c r="DD42" s="215" t="s">
        <v>157</v>
      </c>
      <c r="DE42" s="349">
        <v>15588001</v>
      </c>
      <c r="DF42" s="349">
        <v>3931897</v>
      </c>
      <c r="DG42" s="349">
        <f t="shared" si="18"/>
        <v>11656104</v>
      </c>
      <c r="DH42" s="349">
        <f t="shared" si="19"/>
        <v>3846514.3200000003</v>
      </c>
      <c r="DI42" s="207"/>
      <c r="DJ42" s="207"/>
      <c r="DK42" s="207"/>
      <c r="DL42" s="207" t="s">
        <v>145</v>
      </c>
      <c r="DM42" s="214">
        <v>42227</v>
      </c>
    </row>
    <row r="43" spans="31:117" ht="12" customHeight="1" thickBot="1" x14ac:dyDescent="0.3">
      <c r="AE43" s="213">
        <v>29</v>
      </c>
      <c r="AP43" s="361" t="s">
        <v>35</v>
      </c>
      <c r="AQ43" s="48"/>
      <c r="AR43" s="243"/>
      <c r="AS43" s="41">
        <v>5</v>
      </c>
      <c r="AT43" s="2"/>
      <c r="AU43" s="240" t="s">
        <v>48</v>
      </c>
      <c r="AV43" s="46">
        <v>30</v>
      </c>
      <c r="AW43" s="159" t="s">
        <v>28</v>
      </c>
      <c r="AX43" s="29">
        <f>$AT$45*AV43/100</f>
        <v>0.63</v>
      </c>
      <c r="AY43" s="5">
        <f t="shared" si="9"/>
        <v>24233.040216000001</v>
      </c>
      <c r="AZ43" s="6">
        <f>AY43/(CL20*BB43)</f>
        <v>40.711507562880008</v>
      </c>
      <c r="BA43" s="292">
        <f t="shared" si="17"/>
        <v>5.0889384453600011</v>
      </c>
      <c r="BB43" s="32">
        <v>1</v>
      </c>
      <c r="BC43" s="94"/>
      <c r="BD43" s="94"/>
      <c r="BE43" s="94"/>
      <c r="BF43" s="94"/>
      <c r="BG43" s="94"/>
      <c r="BH43" s="94"/>
      <c r="BI43" s="94"/>
      <c r="BJ43" s="94"/>
      <c r="BK43" s="94"/>
      <c r="BL43" s="94"/>
      <c r="BM43" s="94"/>
      <c r="BN43" s="94"/>
      <c r="BO43" s="94"/>
      <c r="BP43" s="94"/>
      <c r="BQ43" s="94"/>
      <c r="BR43" s="94"/>
      <c r="BS43" s="94"/>
      <c r="BT43" s="94"/>
      <c r="BU43" s="94"/>
      <c r="BV43" s="94"/>
      <c r="BW43" s="94"/>
      <c r="BX43" s="94"/>
      <c r="BY43" s="256"/>
      <c r="BZ43" s="253"/>
      <c r="CA43" s="254"/>
      <c r="CB43" s="25"/>
      <c r="CC43" s="26"/>
      <c r="CD43" s="278"/>
      <c r="CE43" s="345"/>
      <c r="CF43" s="278"/>
      <c r="CG43" s="309"/>
      <c r="CH43" s="310"/>
      <c r="CI43" s="311"/>
      <c r="CJ43" s="327"/>
      <c r="CK43" s="325"/>
      <c r="CL43" s="112"/>
      <c r="CM43" s="340"/>
      <c r="CO43" s="204"/>
      <c r="CP43" s="359">
        <v>1</v>
      </c>
      <c r="CV43" s="204"/>
      <c r="CY43" s="213">
        <v>29</v>
      </c>
      <c r="CZ43" s="212" t="s">
        <v>194</v>
      </c>
      <c r="DA43" s="212" t="s">
        <v>130</v>
      </c>
      <c r="DB43" s="214">
        <v>42593</v>
      </c>
      <c r="DC43" s="212" t="s">
        <v>103</v>
      </c>
      <c r="DD43" s="215" t="s">
        <v>159</v>
      </c>
      <c r="DE43" s="349">
        <v>15588001</v>
      </c>
      <c r="DF43" s="349">
        <v>3931897</v>
      </c>
      <c r="DG43" s="349">
        <f t="shared" si="18"/>
        <v>11656104</v>
      </c>
      <c r="DH43" s="349">
        <f t="shared" si="19"/>
        <v>3846514.3200000003</v>
      </c>
      <c r="DI43" s="207"/>
      <c r="DJ43" s="207"/>
      <c r="DK43" s="207"/>
      <c r="DL43" s="207" t="s">
        <v>145</v>
      </c>
      <c r="DM43" s="214">
        <v>42593</v>
      </c>
    </row>
    <row r="44" spans="31:117" ht="12" customHeight="1" thickBot="1" x14ac:dyDescent="0.3">
      <c r="AE44" s="213">
        <v>30</v>
      </c>
      <c r="AP44" s="361" t="s">
        <v>35</v>
      </c>
      <c r="AQ44" s="48"/>
      <c r="AR44" s="243"/>
      <c r="AS44" s="27"/>
      <c r="AT44" s="48"/>
      <c r="AU44" s="240" t="s">
        <v>48</v>
      </c>
      <c r="AV44" s="49">
        <v>30</v>
      </c>
      <c r="AW44" s="160" t="s">
        <v>37</v>
      </c>
      <c r="AX44" s="29">
        <f>$AT$45*AV44/100</f>
        <v>0.63</v>
      </c>
      <c r="AY44" s="5">
        <f t="shared" si="9"/>
        <v>24233.040216000001</v>
      </c>
      <c r="AZ44" s="32">
        <f>AY44/(CL23*BB44)</f>
        <v>67.852512604799998</v>
      </c>
      <c r="BA44" s="292">
        <f t="shared" si="17"/>
        <v>8.4815640755999997</v>
      </c>
      <c r="BB44" s="32">
        <v>1</v>
      </c>
      <c r="BC44" s="94"/>
      <c r="BD44" s="94"/>
      <c r="BE44" s="94"/>
      <c r="BF44" s="94"/>
      <c r="BG44" s="94"/>
      <c r="BH44" s="94"/>
      <c r="BI44" s="94"/>
      <c r="BJ44" s="94"/>
      <c r="BK44" s="94"/>
      <c r="BL44" s="94"/>
      <c r="BM44" s="94"/>
      <c r="BN44" s="94"/>
      <c r="BO44" s="94"/>
      <c r="BP44" s="94"/>
      <c r="BQ44" s="94"/>
      <c r="BR44" s="94"/>
      <c r="BS44" s="94"/>
      <c r="BT44" s="94"/>
      <c r="BU44" s="94"/>
      <c r="BV44" s="94"/>
      <c r="BW44" s="94"/>
      <c r="BX44" s="94"/>
      <c r="BY44" s="256"/>
      <c r="BZ44" s="253"/>
      <c r="CA44" s="254"/>
      <c r="CB44" s="25"/>
      <c r="CC44" s="26"/>
      <c r="CD44" s="278"/>
      <c r="CE44" s="345"/>
      <c r="CF44" s="278"/>
      <c r="CG44" s="309"/>
      <c r="CH44" s="310"/>
      <c r="CI44" s="311"/>
      <c r="CJ44" s="327"/>
      <c r="CK44" s="325"/>
      <c r="CL44" s="112"/>
      <c r="CM44" s="340"/>
      <c r="CO44" s="204"/>
      <c r="CP44" s="359">
        <v>1</v>
      </c>
      <c r="CV44" s="204"/>
      <c r="CY44" s="213">
        <v>30</v>
      </c>
      <c r="CZ44" s="212" t="s">
        <v>195</v>
      </c>
      <c r="DA44" s="212" t="s">
        <v>131</v>
      </c>
      <c r="DB44" s="214">
        <v>41862</v>
      </c>
      <c r="DC44" s="212" t="s">
        <v>104</v>
      </c>
      <c r="DD44" s="215" t="s">
        <v>161</v>
      </c>
      <c r="DE44" s="349">
        <v>15588001</v>
      </c>
      <c r="DF44" s="349">
        <v>3931897</v>
      </c>
      <c r="DG44" s="349">
        <f t="shared" si="18"/>
        <v>11656104</v>
      </c>
      <c r="DH44" s="349">
        <f t="shared" si="19"/>
        <v>3846514.3200000003</v>
      </c>
      <c r="DI44" s="207"/>
      <c r="DJ44" s="207"/>
      <c r="DK44" s="207"/>
      <c r="DL44" s="207" t="s">
        <v>145</v>
      </c>
      <c r="DM44" s="214">
        <v>41862</v>
      </c>
    </row>
    <row r="45" spans="31:117" ht="12" customHeight="1" thickBot="1" x14ac:dyDescent="0.3">
      <c r="AE45" s="213">
        <v>31</v>
      </c>
      <c r="AP45" s="361" t="s">
        <v>35</v>
      </c>
      <c r="AQ45" s="48"/>
      <c r="AR45" s="243"/>
      <c r="AS45" s="27"/>
      <c r="AT45" s="33">
        <f>AR35*AS43/100</f>
        <v>2.1</v>
      </c>
      <c r="AU45" s="240" t="s">
        <v>48</v>
      </c>
      <c r="AV45" s="40">
        <v>40</v>
      </c>
      <c r="AW45" s="173" t="s">
        <v>29</v>
      </c>
      <c r="AX45" s="29">
        <f>$AT$45*AV45/100</f>
        <v>0.84</v>
      </c>
      <c r="AY45" s="5">
        <f t="shared" si="9"/>
        <v>32310.720288</v>
      </c>
      <c r="AZ45" s="6">
        <f>AY45/(CL21*BB45)</f>
        <v>67.852512604799998</v>
      </c>
      <c r="BA45" s="292">
        <f t="shared" si="17"/>
        <v>8.4815640755999997</v>
      </c>
      <c r="BB45" s="32">
        <v>1</v>
      </c>
      <c r="BC45" s="94"/>
      <c r="BD45" s="94"/>
      <c r="BE45" s="94"/>
      <c r="BF45" s="94"/>
      <c r="BG45" s="94"/>
      <c r="BH45" s="94"/>
      <c r="BI45" s="94"/>
      <c r="BJ45" s="94"/>
      <c r="BK45" s="94"/>
      <c r="BL45" s="94"/>
      <c r="BM45" s="94"/>
      <c r="BN45" s="94"/>
      <c r="BO45" s="94"/>
      <c r="BP45" s="94"/>
      <c r="BQ45" s="94"/>
      <c r="BR45" s="94"/>
      <c r="BS45" s="94"/>
      <c r="BT45" s="94"/>
      <c r="BU45" s="94"/>
      <c r="BV45" s="94"/>
      <c r="BW45" s="94"/>
      <c r="BX45" s="94"/>
      <c r="BY45" s="256"/>
      <c r="BZ45" s="253"/>
      <c r="CA45" s="254"/>
      <c r="CB45" s="25"/>
      <c r="CC45" s="26"/>
      <c r="CD45" s="278"/>
      <c r="CE45" s="345"/>
      <c r="CF45" s="278"/>
      <c r="CG45" s="309"/>
      <c r="CH45" s="310"/>
      <c r="CI45" s="311"/>
      <c r="CJ45" s="327"/>
      <c r="CK45" s="325"/>
      <c r="CL45" s="112"/>
      <c r="CM45" s="340"/>
      <c r="CO45" s="204"/>
      <c r="CP45" s="359">
        <v>1</v>
      </c>
      <c r="CV45" s="204"/>
      <c r="CY45" s="213">
        <v>31</v>
      </c>
      <c r="CZ45" s="212" t="s">
        <v>196</v>
      </c>
      <c r="DA45" s="212" t="s">
        <v>132</v>
      </c>
      <c r="DB45" s="214">
        <v>41497</v>
      </c>
      <c r="DC45" s="212" t="s">
        <v>105</v>
      </c>
      <c r="DD45" s="215" t="s">
        <v>153</v>
      </c>
      <c r="DE45" s="349">
        <v>15588001</v>
      </c>
      <c r="DF45" s="349">
        <v>3931897</v>
      </c>
      <c r="DG45" s="349">
        <f t="shared" si="18"/>
        <v>11656104</v>
      </c>
      <c r="DH45" s="349">
        <f t="shared" si="19"/>
        <v>3846514.3200000003</v>
      </c>
      <c r="DI45" s="207"/>
      <c r="DJ45" s="207"/>
      <c r="DK45" s="207"/>
      <c r="DL45" s="207" t="s">
        <v>145</v>
      </c>
      <c r="DM45" s="214">
        <v>41497</v>
      </c>
    </row>
    <row r="46" spans="31:117" ht="12" customHeight="1" thickBot="1" x14ac:dyDescent="0.3">
      <c r="AE46" s="213">
        <v>32</v>
      </c>
      <c r="AP46" s="361" t="s">
        <v>35</v>
      </c>
      <c r="AQ46" s="48"/>
      <c r="AR46" s="243"/>
      <c r="AS46" s="41">
        <v>10</v>
      </c>
      <c r="AT46" s="2"/>
      <c r="AU46" s="240" t="s">
        <v>51</v>
      </c>
      <c r="AV46" s="50">
        <v>30</v>
      </c>
      <c r="AW46" s="174" t="s">
        <v>38</v>
      </c>
      <c r="AX46" s="29">
        <f>$AT$48*AV46/100</f>
        <v>1.26</v>
      </c>
      <c r="AY46" s="5">
        <f t="shared" si="9"/>
        <v>48466.080432000002</v>
      </c>
      <c r="AZ46" s="32">
        <f>AY46/(CL24*BB46)</f>
        <v>162.84603025152003</v>
      </c>
      <c r="BA46" s="292">
        <f t="shared" si="17"/>
        <v>20.355753781440004</v>
      </c>
      <c r="BB46" s="32">
        <v>1</v>
      </c>
      <c r="BC46" s="94"/>
      <c r="BD46" s="94"/>
      <c r="BE46" s="94"/>
      <c r="BF46" s="94"/>
      <c r="BG46" s="94"/>
      <c r="BH46" s="94"/>
      <c r="BI46" s="94"/>
      <c r="BJ46" s="94"/>
      <c r="BK46" s="94"/>
      <c r="BL46" s="94"/>
      <c r="BM46" s="94"/>
      <c r="BN46" s="94"/>
      <c r="BO46" s="94"/>
      <c r="BP46" s="94"/>
      <c r="BQ46" s="94"/>
      <c r="BR46" s="94"/>
      <c r="BS46" s="94"/>
      <c r="BT46" s="94"/>
      <c r="BU46" s="94"/>
      <c r="BV46" s="94"/>
      <c r="BW46" s="94"/>
      <c r="BX46" s="94"/>
      <c r="BY46" s="258"/>
      <c r="BZ46" s="259"/>
      <c r="CA46" s="260"/>
      <c r="CB46" s="25"/>
      <c r="CC46" s="26"/>
      <c r="CD46" s="279"/>
      <c r="CE46" s="345"/>
      <c r="CF46" s="279"/>
      <c r="CG46" s="312"/>
      <c r="CH46" s="313"/>
      <c r="CI46" s="311"/>
      <c r="CJ46" s="327"/>
      <c r="CK46" s="325"/>
      <c r="CL46" s="112"/>
      <c r="CM46" s="340"/>
      <c r="CO46" s="204"/>
      <c r="CP46" s="359">
        <v>1</v>
      </c>
      <c r="CV46" s="204"/>
      <c r="CY46" s="213">
        <v>32</v>
      </c>
      <c r="CZ46" s="212" t="s">
        <v>197</v>
      </c>
      <c r="DA46" s="212" t="s">
        <v>133</v>
      </c>
      <c r="DB46" s="214">
        <v>41132</v>
      </c>
      <c r="DC46" s="212" t="s">
        <v>106</v>
      </c>
      <c r="DD46" s="215" t="s">
        <v>155</v>
      </c>
      <c r="DE46" s="349">
        <v>15588001</v>
      </c>
      <c r="DF46" s="349">
        <v>3931897</v>
      </c>
      <c r="DG46" s="349">
        <f t="shared" si="18"/>
        <v>11656104</v>
      </c>
      <c r="DH46" s="349">
        <f t="shared" si="19"/>
        <v>3846514.3200000003</v>
      </c>
      <c r="DI46" s="207"/>
      <c r="DJ46" s="207"/>
      <c r="DK46" s="207"/>
      <c r="DL46" s="207" t="s">
        <v>145</v>
      </c>
      <c r="DM46" s="214">
        <v>41132</v>
      </c>
    </row>
    <row r="47" spans="31:117" ht="12" customHeight="1" thickBot="1" x14ac:dyDescent="0.3">
      <c r="AE47" s="213">
        <v>33</v>
      </c>
      <c r="AP47" s="361" t="s">
        <v>35</v>
      </c>
      <c r="AQ47" s="48"/>
      <c r="AR47" s="243"/>
      <c r="AS47" s="27"/>
      <c r="AT47" s="48"/>
      <c r="AU47" s="240" t="s">
        <v>51</v>
      </c>
      <c r="AV47" s="51">
        <v>30</v>
      </c>
      <c r="AW47" s="175" t="s">
        <v>49</v>
      </c>
      <c r="AX47" s="29">
        <f>$AT$48*AV47/100</f>
        <v>1.26</v>
      </c>
      <c r="AY47" s="5">
        <f t="shared" si="9"/>
        <v>48466.080432000002</v>
      </c>
      <c r="AZ47" s="32">
        <f>AY47/(CL32*BB47)</f>
        <v>116.3185930368</v>
      </c>
      <c r="BA47" s="292">
        <f t="shared" si="17"/>
        <v>14.539824129599999</v>
      </c>
      <c r="BB47" s="32">
        <v>1</v>
      </c>
      <c r="BC47" s="94"/>
      <c r="BD47" s="94"/>
      <c r="BE47" s="94"/>
      <c r="BF47" s="94"/>
      <c r="BG47" s="94"/>
      <c r="BH47" s="94"/>
      <c r="BI47" s="94"/>
      <c r="BJ47" s="94"/>
      <c r="BK47" s="94"/>
      <c r="BL47" s="94"/>
      <c r="BM47" s="94"/>
      <c r="BN47" s="94"/>
      <c r="BO47" s="94"/>
      <c r="BP47" s="94"/>
      <c r="BQ47" s="94"/>
      <c r="BR47" s="94"/>
      <c r="BS47" s="94"/>
      <c r="BT47" s="94"/>
      <c r="BU47" s="94"/>
      <c r="BV47" s="94"/>
      <c r="BW47" s="94"/>
      <c r="BX47" s="94"/>
      <c r="BY47" s="204"/>
      <c r="BZ47" s="204"/>
      <c r="CA47" s="204"/>
      <c r="CB47" s="25"/>
      <c r="CC47" s="26"/>
      <c r="CD47" s="280"/>
      <c r="CE47" s="345"/>
      <c r="CF47" s="280"/>
      <c r="CG47" s="314"/>
      <c r="CH47" s="315"/>
      <c r="CI47" s="311"/>
      <c r="CJ47" s="327"/>
      <c r="CK47" s="325"/>
      <c r="CL47" s="112"/>
      <c r="CM47" s="340"/>
      <c r="CO47" s="204"/>
      <c r="CP47" s="359">
        <v>1</v>
      </c>
      <c r="CV47" s="204"/>
      <c r="CY47" s="213">
        <v>33</v>
      </c>
      <c r="CZ47" s="212" t="s">
        <v>198</v>
      </c>
      <c r="DA47" s="212" t="s">
        <v>134</v>
      </c>
      <c r="DB47" s="214">
        <v>40766</v>
      </c>
      <c r="DC47" s="212" t="s">
        <v>107</v>
      </c>
      <c r="DD47" s="215" t="s">
        <v>157</v>
      </c>
      <c r="DE47" s="349">
        <v>15588001</v>
      </c>
      <c r="DF47" s="349">
        <v>3931897</v>
      </c>
      <c r="DG47" s="349">
        <f t="shared" si="18"/>
        <v>11656104</v>
      </c>
      <c r="DH47" s="349">
        <f t="shared" si="19"/>
        <v>3846514.3200000003</v>
      </c>
      <c r="DI47" s="207"/>
      <c r="DJ47" s="207"/>
      <c r="DK47" s="207"/>
      <c r="DL47" s="207" t="s">
        <v>145</v>
      </c>
      <c r="DM47" s="214">
        <v>40766</v>
      </c>
    </row>
    <row r="48" spans="31:117" ht="12" customHeight="1" thickBot="1" x14ac:dyDescent="0.3">
      <c r="AE48" s="213">
        <v>34</v>
      </c>
      <c r="AP48" s="361" t="s">
        <v>35</v>
      </c>
      <c r="AQ48" s="48"/>
      <c r="AR48" s="243"/>
      <c r="AS48" s="27"/>
      <c r="AT48" s="33">
        <f>AR35*AS46/100</f>
        <v>4.2</v>
      </c>
      <c r="AU48" s="240" t="s">
        <v>51</v>
      </c>
      <c r="AV48" s="52">
        <v>40</v>
      </c>
      <c r="AW48" s="173" t="s">
        <v>29</v>
      </c>
      <c r="AX48" s="29">
        <f>$AT$48*AV48/100</f>
        <v>1.68</v>
      </c>
      <c r="AY48" s="5">
        <f t="shared" si="9"/>
        <v>64621.440576000001</v>
      </c>
      <c r="AZ48" s="6">
        <f>AY48/(CL21*BB48)</f>
        <v>135.7050252096</v>
      </c>
      <c r="BA48" s="292">
        <f t="shared" si="17"/>
        <v>16.963128151199999</v>
      </c>
      <c r="BB48" s="32">
        <v>1</v>
      </c>
      <c r="BC48" s="94"/>
      <c r="BD48" s="94"/>
      <c r="BE48" s="94"/>
      <c r="BF48" s="94"/>
      <c r="BG48" s="94"/>
      <c r="BH48" s="94"/>
      <c r="BI48" s="94"/>
      <c r="BJ48" s="94"/>
      <c r="BK48" s="94"/>
      <c r="BL48" s="94"/>
      <c r="BM48" s="94"/>
      <c r="BN48" s="94"/>
      <c r="BO48" s="94"/>
      <c r="BP48" s="94"/>
      <c r="BQ48" s="94"/>
      <c r="BR48" s="94"/>
      <c r="BS48" s="94"/>
      <c r="BT48" s="94"/>
      <c r="BU48" s="94"/>
      <c r="BV48" s="94"/>
      <c r="BW48" s="94"/>
      <c r="BX48" s="94"/>
      <c r="BY48" s="204"/>
      <c r="BZ48" s="204"/>
      <c r="CA48" s="204"/>
      <c r="CB48" s="25"/>
      <c r="CC48" s="26"/>
      <c r="CD48" s="280"/>
      <c r="CE48" s="345"/>
      <c r="CF48" s="280"/>
      <c r="CG48" s="314"/>
      <c r="CH48" s="315"/>
      <c r="CI48" s="311"/>
      <c r="CJ48" s="327"/>
      <c r="CK48" s="325"/>
      <c r="CL48" s="112"/>
      <c r="CM48" s="340"/>
      <c r="CO48" s="204"/>
      <c r="CP48" s="359">
        <v>1</v>
      </c>
      <c r="CV48" s="204"/>
      <c r="CY48" s="213">
        <v>34</v>
      </c>
      <c r="CZ48" s="212" t="s">
        <v>199</v>
      </c>
      <c r="DA48" s="212" t="s">
        <v>135</v>
      </c>
      <c r="DB48" s="214" t="s">
        <v>246</v>
      </c>
      <c r="DC48" s="212" t="s">
        <v>200</v>
      </c>
      <c r="DD48" s="215" t="s">
        <v>159</v>
      </c>
      <c r="DE48" s="349">
        <v>1556543</v>
      </c>
      <c r="DF48" s="349">
        <v>39318</v>
      </c>
      <c r="DG48" s="349">
        <f t="shared" si="18"/>
        <v>1517225</v>
      </c>
      <c r="DH48" s="349">
        <f t="shared" si="19"/>
        <v>500684.25</v>
      </c>
      <c r="DI48" s="207"/>
      <c r="DJ48" s="207"/>
      <c r="DK48" s="207"/>
      <c r="DL48" s="207" t="s">
        <v>145</v>
      </c>
      <c r="DM48" s="214" t="s">
        <v>247</v>
      </c>
    </row>
    <row r="49" spans="1:117" ht="12" customHeight="1" thickBot="1" x14ac:dyDescent="0.3">
      <c r="AE49" s="221">
        <v>35</v>
      </c>
      <c r="AP49" s="361" t="s">
        <v>35</v>
      </c>
      <c r="AQ49" s="48"/>
      <c r="AR49" s="243"/>
      <c r="AS49" s="41">
        <v>10</v>
      </c>
      <c r="AT49" s="2"/>
      <c r="AU49" s="240" t="s">
        <v>52</v>
      </c>
      <c r="AV49" s="50">
        <v>30</v>
      </c>
      <c r="AW49" s="174" t="s">
        <v>30</v>
      </c>
      <c r="AX49" s="29">
        <f>$AT$51*AV49/100</f>
        <v>1.26</v>
      </c>
      <c r="AY49" s="5">
        <f t="shared" si="9"/>
        <v>48466.080432000002</v>
      </c>
      <c r="AZ49" s="6">
        <f>AY49/(CL22*BB49)</f>
        <v>116.3185930368</v>
      </c>
      <c r="BA49" s="292">
        <f t="shared" si="17"/>
        <v>14.539824129599999</v>
      </c>
      <c r="BB49" s="32">
        <v>1</v>
      </c>
      <c r="BC49" s="94"/>
      <c r="BD49" s="94"/>
      <c r="BE49" s="94"/>
      <c r="BF49" s="94"/>
      <c r="BG49" s="94"/>
      <c r="BH49" s="94"/>
      <c r="BI49" s="94"/>
      <c r="BJ49" s="94"/>
      <c r="BK49" s="94"/>
      <c r="BL49" s="94"/>
      <c r="BM49" s="94"/>
      <c r="BN49" s="94"/>
      <c r="BO49" s="94"/>
      <c r="BP49" s="94"/>
      <c r="BQ49" s="94"/>
      <c r="BR49" s="94"/>
      <c r="BS49" s="94"/>
      <c r="BT49" s="94"/>
      <c r="BU49" s="94"/>
      <c r="BV49" s="94"/>
      <c r="BW49" s="94"/>
      <c r="BX49" s="94"/>
      <c r="BY49" s="204"/>
      <c r="BZ49" s="204"/>
      <c r="CA49" s="204"/>
      <c r="CB49" s="25"/>
      <c r="CC49" s="26"/>
      <c r="CD49" s="280"/>
      <c r="CE49" s="345"/>
      <c r="CF49" s="280"/>
      <c r="CG49" s="314"/>
      <c r="CH49" s="315"/>
      <c r="CI49" s="311"/>
      <c r="CJ49" s="327"/>
      <c r="CK49" s="325"/>
      <c r="CL49" s="112"/>
      <c r="CM49" s="340"/>
      <c r="CO49" s="204"/>
      <c r="CP49" s="359">
        <v>1</v>
      </c>
      <c r="CY49" s="221">
        <v>35</v>
      </c>
      <c r="CZ49" s="204"/>
      <c r="DA49" s="204"/>
      <c r="DB49" s="204"/>
      <c r="DC49" s="215"/>
      <c r="DD49" s="215"/>
      <c r="DE49" s="350"/>
      <c r="DF49" s="350"/>
      <c r="DG49" s="350">
        <f t="shared" si="18"/>
        <v>0</v>
      </c>
      <c r="DH49" s="350">
        <f t="shared" si="19"/>
        <v>0</v>
      </c>
      <c r="DI49" s="204"/>
      <c r="DJ49" s="204"/>
      <c r="DK49" s="204"/>
      <c r="DL49" s="204"/>
      <c r="DM49" s="204"/>
    </row>
    <row r="50" spans="1:117" ht="12" customHeight="1" thickBot="1" x14ac:dyDescent="0.3">
      <c r="AE50" s="221">
        <v>36</v>
      </c>
      <c r="AP50" s="361" t="s">
        <v>35</v>
      </c>
      <c r="AQ50" s="48"/>
      <c r="AR50" s="243"/>
      <c r="AS50" s="27"/>
      <c r="AT50" s="48"/>
      <c r="AU50" s="240" t="s">
        <v>52</v>
      </c>
      <c r="AV50" s="51">
        <v>30</v>
      </c>
      <c r="AW50" s="160" t="s">
        <v>28</v>
      </c>
      <c r="AX50" s="29">
        <f>$AT$51*AV50/100</f>
        <v>1.26</v>
      </c>
      <c r="AY50" s="5">
        <f t="shared" si="9"/>
        <v>48466.080432000002</v>
      </c>
      <c r="AZ50" s="6">
        <f>AY50/(CL20*BB50)</f>
        <v>81.423015125760017</v>
      </c>
      <c r="BA50" s="292">
        <f t="shared" si="17"/>
        <v>10.177876890720002</v>
      </c>
      <c r="BB50" s="32">
        <v>1</v>
      </c>
      <c r="BC50" s="94"/>
      <c r="BD50" s="94"/>
      <c r="BE50" s="94"/>
      <c r="BF50" s="94"/>
      <c r="BG50" s="94"/>
      <c r="BH50" s="94"/>
      <c r="BI50" s="94"/>
      <c r="BJ50" s="94"/>
      <c r="BK50" s="94"/>
      <c r="BL50" s="94"/>
      <c r="BM50" s="94"/>
      <c r="BN50" s="94"/>
      <c r="BO50" s="94"/>
      <c r="BP50" s="94"/>
      <c r="BQ50" s="94"/>
      <c r="BR50" s="94"/>
      <c r="BS50" s="94"/>
      <c r="BT50" s="94"/>
      <c r="BU50" s="94"/>
      <c r="BV50" s="94"/>
      <c r="BW50" s="94"/>
      <c r="BX50" s="94"/>
      <c r="BY50" s="261"/>
      <c r="BZ50" s="261"/>
      <c r="CA50" s="261"/>
      <c r="CB50" s="25"/>
      <c r="CC50" s="26"/>
      <c r="CD50" s="281"/>
      <c r="CE50" s="345"/>
      <c r="CF50" s="281"/>
      <c r="CG50" s="316"/>
      <c r="CH50" s="317"/>
      <c r="CI50" s="311"/>
      <c r="CJ50" s="327"/>
      <c r="CK50" s="325"/>
      <c r="CL50" s="112"/>
      <c r="CM50" s="340"/>
      <c r="CO50" s="204"/>
      <c r="CP50" s="359">
        <v>1</v>
      </c>
      <c r="CY50" s="221">
        <v>36</v>
      </c>
      <c r="CZ50" s="204"/>
      <c r="DA50" s="204"/>
      <c r="DB50" s="204"/>
      <c r="DC50" s="215"/>
      <c r="DD50" s="215"/>
      <c r="DE50" s="350"/>
      <c r="DF50" s="350"/>
      <c r="DG50" s="350">
        <f t="shared" si="18"/>
        <v>0</v>
      </c>
      <c r="DH50" s="350">
        <f t="shared" si="19"/>
        <v>0</v>
      </c>
      <c r="DI50" s="204"/>
      <c r="DJ50" s="204"/>
      <c r="DK50" s="204"/>
      <c r="DL50" s="204"/>
      <c r="DM50" s="204"/>
    </row>
    <row r="51" spans="1:117" ht="12" customHeight="1" thickBot="1" x14ac:dyDescent="0.3">
      <c r="AE51" s="221">
        <v>37</v>
      </c>
      <c r="AP51" s="361" t="s">
        <v>35</v>
      </c>
      <c r="AQ51" s="48"/>
      <c r="AR51" s="243"/>
      <c r="AS51" s="27"/>
      <c r="AT51" s="33">
        <f>AR35*AS49/100</f>
        <v>4.2</v>
      </c>
      <c r="AU51" s="240" t="s">
        <v>52</v>
      </c>
      <c r="AV51" s="52">
        <v>40</v>
      </c>
      <c r="AW51" s="176" t="s">
        <v>49</v>
      </c>
      <c r="AX51" s="29">
        <f>$AT$51*AV51/100</f>
        <v>1.68</v>
      </c>
      <c r="AY51" s="5">
        <f t="shared" si="9"/>
        <v>64621.440576000001</v>
      </c>
      <c r="AZ51" s="32">
        <f>AY51/(CL32*BB51)</f>
        <v>155.09145738239999</v>
      </c>
      <c r="BA51" s="292">
        <f t="shared" si="17"/>
        <v>19.386432172799999</v>
      </c>
      <c r="BB51" s="32">
        <v>1</v>
      </c>
      <c r="BC51" s="94"/>
      <c r="BD51" s="94"/>
      <c r="BE51" s="94"/>
      <c r="BF51" s="94"/>
      <c r="BG51" s="94"/>
      <c r="BH51" s="94"/>
      <c r="BI51" s="94"/>
      <c r="BJ51" s="94"/>
      <c r="BK51" s="94"/>
      <c r="BL51" s="94"/>
      <c r="BM51" s="94"/>
      <c r="BN51" s="94"/>
      <c r="BO51" s="94"/>
      <c r="BP51" s="94"/>
      <c r="BQ51" s="94"/>
      <c r="BR51" s="94"/>
      <c r="BS51" s="94"/>
      <c r="BT51" s="94"/>
      <c r="BU51" s="94"/>
      <c r="BV51" s="94"/>
      <c r="BW51" s="94"/>
      <c r="BX51" s="94"/>
      <c r="BY51" s="262"/>
      <c r="BZ51" s="262"/>
      <c r="CA51" s="263"/>
      <c r="CB51" s="25"/>
      <c r="CC51" s="26"/>
      <c r="CD51" s="282"/>
      <c r="CE51" s="345"/>
      <c r="CF51" s="282"/>
      <c r="CG51" s="318"/>
      <c r="CH51" s="319"/>
      <c r="CI51" s="311"/>
      <c r="CJ51" s="327"/>
      <c r="CK51" s="325"/>
      <c r="CL51" s="112"/>
      <c r="CM51" s="340"/>
      <c r="CO51" s="204"/>
      <c r="CP51" s="359">
        <v>1</v>
      </c>
      <c r="CY51" s="221">
        <v>37</v>
      </c>
      <c r="CZ51" s="204"/>
      <c r="DA51" s="204"/>
      <c r="DB51" s="204"/>
      <c r="DC51" s="215"/>
      <c r="DD51" s="215"/>
      <c r="DE51" s="350"/>
      <c r="DF51" s="350"/>
      <c r="DG51" s="350">
        <f t="shared" si="18"/>
        <v>0</v>
      </c>
      <c r="DH51" s="350">
        <f t="shared" si="19"/>
        <v>0</v>
      </c>
      <c r="DI51" s="204"/>
      <c r="DJ51" s="204"/>
      <c r="DK51" s="204"/>
      <c r="DL51" s="204"/>
      <c r="DM51" s="204"/>
    </row>
    <row r="52" spans="1:117" ht="12" customHeight="1" thickBot="1" x14ac:dyDescent="0.3">
      <c r="A52" t="s">
        <v>163</v>
      </c>
      <c r="AE52" s="221">
        <v>38</v>
      </c>
      <c r="AP52" s="361" t="s">
        <v>35</v>
      </c>
      <c r="AQ52" s="48"/>
      <c r="AR52" s="243"/>
      <c r="AS52" s="41">
        <v>5</v>
      </c>
      <c r="AT52" s="2"/>
      <c r="AU52" s="240" t="s">
        <v>53</v>
      </c>
      <c r="AV52" s="53">
        <v>100</v>
      </c>
      <c r="AW52" s="160" t="s">
        <v>28</v>
      </c>
      <c r="AX52" s="29">
        <f>$AT$53*AV52/100</f>
        <v>2.1</v>
      </c>
      <c r="AY52" s="5">
        <f t="shared" si="9"/>
        <v>80776.800719999999</v>
      </c>
      <c r="AZ52" s="6">
        <f>AY52/(CL20*BB52)</f>
        <v>135.70502520960002</v>
      </c>
      <c r="BA52" s="292">
        <f t="shared" si="17"/>
        <v>16.963128151200003</v>
      </c>
      <c r="BB52" s="32">
        <v>1</v>
      </c>
      <c r="BC52" s="94"/>
      <c r="BD52" s="94"/>
      <c r="BE52" s="94"/>
      <c r="BF52" s="94"/>
      <c r="BG52" s="94"/>
      <c r="BH52" s="94"/>
      <c r="BI52" s="94"/>
      <c r="BJ52" s="94"/>
      <c r="BK52" s="94"/>
      <c r="BL52" s="94"/>
      <c r="BM52" s="94"/>
      <c r="BN52" s="94"/>
      <c r="BO52" s="94"/>
      <c r="BP52" s="94"/>
      <c r="BQ52" s="94"/>
      <c r="BR52" s="94"/>
      <c r="BS52" s="94"/>
      <c r="BT52" s="94"/>
      <c r="BU52" s="94"/>
      <c r="BV52" s="94"/>
      <c r="BW52" s="94"/>
      <c r="BX52" s="94"/>
      <c r="BY52" s="262"/>
      <c r="BZ52" s="262"/>
      <c r="CA52" s="263"/>
      <c r="CB52" s="25"/>
      <c r="CC52" s="26"/>
      <c r="CD52" s="282"/>
      <c r="CE52" s="345"/>
      <c r="CF52" s="282"/>
      <c r="CG52" s="318"/>
      <c r="CH52" s="319"/>
      <c r="CI52" s="311"/>
      <c r="CJ52" s="327"/>
      <c r="CK52" s="325"/>
      <c r="CL52" s="112"/>
      <c r="CM52" s="340"/>
      <c r="CO52" s="204"/>
      <c r="CP52" s="359">
        <v>1</v>
      </c>
      <c r="CY52" s="221">
        <v>38</v>
      </c>
      <c r="CZ52" s="204"/>
      <c r="DA52" s="204"/>
      <c r="DB52" s="204"/>
      <c r="DC52" s="215"/>
      <c r="DD52" s="215"/>
      <c r="DE52" s="350"/>
      <c r="DF52" s="350"/>
      <c r="DG52" s="350">
        <f t="shared" si="18"/>
        <v>0</v>
      </c>
      <c r="DH52" s="350">
        <f t="shared" si="19"/>
        <v>0</v>
      </c>
      <c r="DI52" s="204"/>
      <c r="DJ52" s="204"/>
      <c r="DK52" s="204"/>
      <c r="DL52" s="204"/>
      <c r="DM52" s="204"/>
    </row>
    <row r="53" spans="1:117" ht="12" customHeight="1" thickBot="1" x14ac:dyDescent="0.3">
      <c r="A53" s="205">
        <v>27</v>
      </c>
      <c r="AE53" s="221">
        <v>39</v>
      </c>
      <c r="AP53" s="361" t="s">
        <v>35</v>
      </c>
      <c r="AQ53" s="48"/>
      <c r="AR53" s="243"/>
      <c r="AS53" s="27"/>
      <c r="AT53" s="33">
        <f>AR35*AS52/100</f>
        <v>2.1</v>
      </c>
      <c r="AU53" s="240" t="s">
        <v>53</v>
      </c>
      <c r="AV53" s="54"/>
      <c r="AW53" s="177"/>
      <c r="AX53" s="29">
        <f>$AR$16*AV53/100</f>
        <v>0</v>
      </c>
      <c r="AY53" s="5">
        <f t="shared" si="9"/>
        <v>0</v>
      </c>
      <c r="AZ53" s="6">
        <f>AY53/(417*53)</f>
        <v>0</v>
      </c>
      <c r="BA53" s="292">
        <f t="shared" si="17"/>
        <v>0</v>
      </c>
      <c r="BB53" s="32">
        <v>1</v>
      </c>
      <c r="BC53" s="94"/>
      <c r="BD53" s="94"/>
      <c r="BE53" s="94"/>
      <c r="BF53" s="94"/>
      <c r="BG53" s="94"/>
      <c r="BH53" s="94"/>
      <c r="BI53" s="94"/>
      <c r="BJ53" s="94"/>
      <c r="BK53" s="94"/>
      <c r="BL53" s="94"/>
      <c r="BM53" s="94"/>
      <c r="BN53" s="94"/>
      <c r="BO53" s="94"/>
      <c r="BP53" s="94"/>
      <c r="BQ53" s="94"/>
      <c r="BR53" s="94"/>
      <c r="BS53" s="94"/>
      <c r="BT53" s="94"/>
      <c r="BU53" s="94"/>
      <c r="BV53" s="94"/>
      <c r="BW53" s="94"/>
      <c r="BX53" s="94"/>
      <c r="BY53" s="262"/>
      <c r="BZ53" s="262"/>
      <c r="CA53" s="263"/>
      <c r="CB53" s="25"/>
      <c r="CC53" s="26"/>
      <c r="CD53" s="282"/>
      <c r="CE53" s="345"/>
      <c r="CF53" s="282"/>
      <c r="CG53" s="318"/>
      <c r="CH53" s="319"/>
      <c r="CI53" s="311"/>
      <c r="CJ53" s="327"/>
      <c r="CK53" s="325"/>
      <c r="CL53" s="112"/>
      <c r="CM53" s="340"/>
      <c r="CO53" s="204"/>
      <c r="CP53" s="359">
        <v>1</v>
      </c>
      <c r="CY53" s="221">
        <v>39</v>
      </c>
      <c r="CZ53" s="204"/>
      <c r="DA53" s="204"/>
      <c r="DB53" s="204"/>
      <c r="DC53" s="215"/>
      <c r="DD53" s="215"/>
      <c r="DE53" s="350"/>
      <c r="DF53" s="350"/>
      <c r="DG53" s="350">
        <f t="shared" si="18"/>
        <v>0</v>
      </c>
      <c r="DH53" s="350">
        <f t="shared" si="19"/>
        <v>0</v>
      </c>
      <c r="DI53" s="204"/>
      <c r="DJ53" s="204"/>
      <c r="DK53" s="204"/>
      <c r="DL53" s="204"/>
      <c r="DM53" s="204"/>
    </row>
    <row r="54" spans="1:117" ht="12" customHeight="1" thickBot="1" x14ac:dyDescent="0.3">
      <c r="AE54" s="221">
        <v>40</v>
      </c>
      <c r="AP54" s="361" t="s">
        <v>35</v>
      </c>
      <c r="AQ54" s="48"/>
      <c r="AR54" s="243"/>
      <c r="AS54" s="41">
        <v>4</v>
      </c>
      <c r="AT54" s="55"/>
      <c r="AU54" s="240" t="s">
        <v>54</v>
      </c>
      <c r="AV54" s="56">
        <v>50</v>
      </c>
      <c r="AW54" s="178" t="s">
        <v>27</v>
      </c>
      <c r="AX54" s="29">
        <f>$AT$55*AV54/100</f>
        <v>0.84</v>
      </c>
      <c r="AY54" s="5">
        <f t="shared" si="9"/>
        <v>32310.720288</v>
      </c>
      <c r="AZ54" s="6">
        <f>AY54/(CL19*BB54)</f>
        <v>108.56402016768001</v>
      </c>
      <c r="BA54" s="292">
        <f t="shared" si="17"/>
        <v>13.570502520960002</v>
      </c>
      <c r="BB54" s="32">
        <v>1</v>
      </c>
      <c r="BC54" s="94"/>
      <c r="BD54" s="94"/>
      <c r="BE54" s="94"/>
      <c r="BF54" s="94"/>
      <c r="BG54" s="94"/>
      <c r="BH54" s="94"/>
      <c r="BI54" s="94"/>
      <c r="BJ54" s="94"/>
      <c r="BK54" s="94"/>
      <c r="BL54" s="94"/>
      <c r="BM54" s="94"/>
      <c r="BN54" s="94"/>
      <c r="BO54" s="94"/>
      <c r="BP54" s="94"/>
      <c r="BQ54" s="94"/>
      <c r="BR54" s="94"/>
      <c r="BS54" s="94"/>
      <c r="BT54" s="94"/>
      <c r="BU54" s="94"/>
      <c r="BV54" s="94"/>
      <c r="BW54" s="94"/>
      <c r="BX54" s="94"/>
      <c r="BY54" s="262"/>
      <c r="BZ54" s="262"/>
      <c r="CA54" s="263"/>
      <c r="CB54" s="25"/>
      <c r="CC54" s="26"/>
      <c r="CD54" s="282"/>
      <c r="CE54" s="345"/>
      <c r="CF54" s="282"/>
      <c r="CG54" s="318"/>
      <c r="CH54" s="319"/>
      <c r="CI54" s="311"/>
      <c r="CJ54" s="327"/>
      <c r="CK54" s="325"/>
      <c r="CL54" s="112"/>
      <c r="CM54" s="340"/>
      <c r="CO54" s="204"/>
      <c r="CP54" s="359">
        <v>1</v>
      </c>
      <c r="CY54" s="221">
        <v>40</v>
      </c>
      <c r="CZ54" s="204"/>
      <c r="DA54" s="204"/>
      <c r="DB54" s="204"/>
      <c r="DC54" s="215"/>
      <c r="DD54" s="215"/>
      <c r="DE54" s="350"/>
      <c r="DF54" s="350"/>
      <c r="DG54" s="350">
        <f t="shared" si="18"/>
        <v>0</v>
      </c>
      <c r="DH54" s="350">
        <f t="shared" si="19"/>
        <v>0</v>
      </c>
      <c r="DI54" s="204"/>
      <c r="DJ54" s="204"/>
      <c r="DK54" s="204"/>
      <c r="DL54" s="204"/>
      <c r="DM54" s="204"/>
    </row>
    <row r="55" spans="1:117" ht="15.75" customHeight="1" thickBot="1" x14ac:dyDescent="0.3">
      <c r="AE55" s="221">
        <v>41</v>
      </c>
      <c r="AP55" s="361" t="s">
        <v>35</v>
      </c>
      <c r="AQ55" s="48"/>
      <c r="AR55" s="243"/>
      <c r="AS55" s="57"/>
      <c r="AT55" s="33">
        <f>AR35*AS54/100</f>
        <v>1.68</v>
      </c>
      <c r="AU55" s="240" t="s">
        <v>54</v>
      </c>
      <c r="AV55" s="52">
        <v>50</v>
      </c>
      <c r="AW55" s="173" t="s">
        <v>30</v>
      </c>
      <c r="AX55" s="29">
        <f>$AT$55*AV55/100</f>
        <v>0.84</v>
      </c>
      <c r="AY55" s="5">
        <f t="shared" si="9"/>
        <v>32310.720288</v>
      </c>
      <c r="AZ55" s="6">
        <f>AY55/(CL22*BB55)</f>
        <v>77.545728691199997</v>
      </c>
      <c r="BA55" s="292">
        <f t="shared" si="17"/>
        <v>9.6932160863999997</v>
      </c>
      <c r="BB55" s="32">
        <v>1</v>
      </c>
      <c r="BC55" s="94"/>
      <c r="BD55" s="94"/>
      <c r="BE55" s="94"/>
      <c r="BF55" s="94"/>
      <c r="BG55" s="94"/>
      <c r="BH55" s="94"/>
      <c r="BI55" s="94"/>
      <c r="BJ55" s="94"/>
      <c r="BK55" s="94"/>
      <c r="BL55" s="94"/>
      <c r="BM55" s="94"/>
      <c r="BN55" s="94"/>
      <c r="BO55" s="94"/>
      <c r="BP55" s="94"/>
      <c r="BQ55" s="94"/>
      <c r="BR55" s="94"/>
      <c r="BS55" s="94"/>
      <c r="BT55" s="94"/>
      <c r="BU55" s="94"/>
      <c r="BV55" s="94"/>
      <c r="BW55" s="94"/>
      <c r="BX55" s="94"/>
      <c r="BY55" s="262"/>
      <c r="BZ55" s="262"/>
      <c r="CA55" s="263"/>
      <c r="CB55" s="25"/>
      <c r="CC55" s="26"/>
      <c r="CD55" s="282"/>
      <c r="CE55" s="345"/>
      <c r="CF55" s="282"/>
      <c r="CG55" s="318"/>
      <c r="CH55" s="319"/>
      <c r="CI55" s="311"/>
      <c r="CJ55" s="327"/>
      <c r="CK55" s="325"/>
      <c r="CL55" s="112"/>
      <c r="CM55" s="340"/>
      <c r="CO55" s="204"/>
      <c r="CP55" s="359">
        <v>1</v>
      </c>
      <c r="CY55" s="221">
        <v>41</v>
      </c>
      <c r="CZ55" s="204"/>
      <c r="DA55" s="204"/>
      <c r="DB55" s="204"/>
      <c r="DC55" s="215"/>
      <c r="DD55" s="215"/>
      <c r="DE55" s="350"/>
      <c r="DF55" s="350"/>
      <c r="DG55" s="350">
        <f t="shared" si="18"/>
        <v>0</v>
      </c>
      <c r="DH55" s="350">
        <f t="shared" si="19"/>
        <v>0</v>
      </c>
      <c r="DI55" s="204"/>
      <c r="DJ55" s="204"/>
      <c r="DK55" s="204"/>
      <c r="DL55" s="204"/>
      <c r="DM55" s="204"/>
    </row>
    <row r="56" spans="1:117" ht="15.75" customHeight="1" thickBot="1" x14ac:dyDescent="0.3">
      <c r="AE56" s="221">
        <v>42</v>
      </c>
      <c r="AP56" s="361" t="s">
        <v>35</v>
      </c>
      <c r="AQ56" s="48"/>
      <c r="AR56" s="243"/>
      <c r="AS56" s="41">
        <v>2</v>
      </c>
      <c r="AT56" s="58"/>
      <c r="AU56" s="240" t="s">
        <v>55</v>
      </c>
      <c r="AV56" s="56">
        <v>60</v>
      </c>
      <c r="AW56" s="179" t="s">
        <v>29</v>
      </c>
      <c r="AX56" s="29">
        <f>$AT$57*AV56/100</f>
        <v>0.504</v>
      </c>
      <c r="AY56" s="5">
        <f t="shared" si="9"/>
        <v>19386.432172800003</v>
      </c>
      <c r="AZ56" s="6">
        <f>AY56/(CL21*BB56)</f>
        <v>40.711507562880008</v>
      </c>
      <c r="BA56" s="292">
        <f t="shared" si="17"/>
        <v>5.0889384453600011</v>
      </c>
      <c r="BB56" s="32">
        <v>1</v>
      </c>
      <c r="BC56" s="94"/>
      <c r="BD56" s="94"/>
      <c r="BE56" s="94"/>
      <c r="BF56" s="94"/>
      <c r="BG56" s="94"/>
      <c r="BH56" s="94"/>
      <c r="BI56" s="94"/>
      <c r="BJ56" s="94"/>
      <c r="BK56" s="94"/>
      <c r="BL56" s="94"/>
      <c r="BM56" s="94"/>
      <c r="BN56" s="94"/>
      <c r="BO56" s="94"/>
      <c r="BP56" s="94"/>
      <c r="BQ56" s="94"/>
      <c r="BR56" s="94"/>
      <c r="BS56" s="94"/>
      <c r="BT56" s="94"/>
      <c r="BU56" s="94"/>
      <c r="BV56" s="94"/>
      <c r="BW56" s="94"/>
      <c r="BX56" s="94"/>
      <c r="BY56" s="262"/>
      <c r="BZ56" s="262"/>
      <c r="CA56" s="263"/>
      <c r="CB56" s="25"/>
      <c r="CC56" s="26"/>
      <c r="CD56" s="282"/>
      <c r="CE56" s="345"/>
      <c r="CF56" s="282"/>
      <c r="CG56" s="318"/>
      <c r="CH56" s="319"/>
      <c r="CI56" s="311"/>
      <c r="CJ56" s="327"/>
      <c r="CK56" s="325"/>
      <c r="CL56" s="112"/>
      <c r="CM56" s="340"/>
      <c r="CO56" s="204"/>
      <c r="CP56" s="359">
        <v>1</v>
      </c>
      <c r="CY56" s="221">
        <v>42</v>
      </c>
      <c r="CZ56" s="204"/>
      <c r="DA56" s="204"/>
      <c r="DB56" s="204"/>
      <c r="DC56" s="215"/>
      <c r="DD56" s="215"/>
      <c r="DE56" s="350"/>
      <c r="DF56" s="350"/>
      <c r="DG56" s="350">
        <f t="shared" si="18"/>
        <v>0</v>
      </c>
      <c r="DH56" s="350">
        <f t="shared" si="19"/>
        <v>0</v>
      </c>
      <c r="DI56" s="204"/>
      <c r="DJ56" s="204"/>
      <c r="DK56" s="204"/>
      <c r="DL56" s="204"/>
      <c r="DM56" s="204"/>
    </row>
    <row r="57" spans="1:117" ht="15.75" customHeight="1" thickBot="1" x14ac:dyDescent="0.3">
      <c r="AE57" s="221">
        <v>43</v>
      </c>
      <c r="AP57" s="361" t="s">
        <v>35</v>
      </c>
      <c r="AQ57" s="48"/>
      <c r="AR57" s="243"/>
      <c r="AS57" s="57"/>
      <c r="AT57" s="33">
        <f>AR35*AS56/100</f>
        <v>0.84</v>
      </c>
      <c r="AU57" s="240" t="s">
        <v>55</v>
      </c>
      <c r="AV57" s="52">
        <v>40</v>
      </c>
      <c r="AW57" s="180" t="s">
        <v>27</v>
      </c>
      <c r="AX57" s="29">
        <f>$AT$57*AV57/100</f>
        <v>0.33600000000000002</v>
      </c>
      <c r="AY57" s="5">
        <f t="shared" si="9"/>
        <v>12924.288115200003</v>
      </c>
      <c r="AZ57" s="6">
        <f>AY57/(CL19*BB57)</f>
        <v>43.425608067072012</v>
      </c>
      <c r="BA57" s="292">
        <f t="shared" si="17"/>
        <v>5.4282010083840015</v>
      </c>
      <c r="BB57" s="32">
        <v>1</v>
      </c>
      <c r="BC57" s="94"/>
      <c r="BD57" s="94"/>
      <c r="BE57" s="94"/>
      <c r="BF57" s="94"/>
      <c r="BG57" s="94"/>
      <c r="BH57" s="94"/>
      <c r="BI57" s="94"/>
      <c r="BJ57" s="94"/>
      <c r="BK57" s="94"/>
      <c r="BL57" s="94"/>
      <c r="BM57" s="94"/>
      <c r="BN57" s="94"/>
      <c r="BO57" s="94"/>
      <c r="BP57" s="94"/>
      <c r="BQ57" s="94"/>
      <c r="BR57" s="94"/>
      <c r="BS57" s="94"/>
      <c r="BT57" s="94"/>
      <c r="BU57" s="94"/>
      <c r="BV57" s="94"/>
      <c r="BW57" s="94"/>
      <c r="BX57" s="94"/>
      <c r="BY57" s="283"/>
      <c r="BZ57" s="283"/>
      <c r="CA57" s="284"/>
      <c r="CB57" s="25"/>
      <c r="CC57" s="26"/>
      <c r="CD57" s="285"/>
      <c r="CE57" s="345"/>
      <c r="CF57" s="285"/>
      <c r="CG57" s="320"/>
      <c r="CH57" s="321"/>
      <c r="CI57" s="322"/>
      <c r="CJ57" s="328"/>
      <c r="CK57" s="326"/>
      <c r="CL57" s="300"/>
      <c r="CM57" s="341"/>
      <c r="CO57" s="224"/>
      <c r="CP57" s="359">
        <v>1</v>
      </c>
      <c r="CY57" s="221">
        <v>43</v>
      </c>
      <c r="CZ57" s="204"/>
      <c r="DA57" s="204"/>
      <c r="DB57" s="204"/>
      <c r="DC57" s="215"/>
      <c r="DD57" s="215"/>
      <c r="DE57" s="350"/>
      <c r="DF57" s="350"/>
      <c r="DG57" s="350">
        <f t="shared" si="18"/>
        <v>0</v>
      </c>
      <c r="DH57" s="350">
        <f t="shared" si="19"/>
        <v>0</v>
      </c>
      <c r="DI57" s="204"/>
      <c r="DJ57" s="204"/>
      <c r="DK57" s="204"/>
      <c r="DL57" s="204"/>
      <c r="DM57" s="204"/>
    </row>
    <row r="58" spans="1:117" ht="15.75" customHeight="1" thickBot="1" x14ac:dyDescent="0.3">
      <c r="AE58" s="221">
        <v>44</v>
      </c>
      <c r="AP58" s="361" t="s">
        <v>35</v>
      </c>
      <c r="AQ58" s="48"/>
      <c r="AR58" s="243"/>
      <c r="AS58" s="41">
        <v>2</v>
      </c>
      <c r="AT58" s="58"/>
      <c r="AU58" s="240" t="s">
        <v>56</v>
      </c>
      <c r="AV58" s="50">
        <v>50</v>
      </c>
      <c r="AW58" s="174" t="s">
        <v>28</v>
      </c>
      <c r="AX58" s="29">
        <f>$AT$59*AV58/100</f>
        <v>0.42</v>
      </c>
      <c r="AY58" s="5">
        <f t="shared" si="9"/>
        <v>16155.360144</v>
      </c>
      <c r="AZ58" s="6">
        <f>AY58/(CL20*BB58)</f>
        <v>27.141005041920003</v>
      </c>
      <c r="BA58" s="292">
        <f t="shared" si="17"/>
        <v>3.3926256302400004</v>
      </c>
      <c r="BB58" s="32">
        <v>1</v>
      </c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286"/>
      <c r="BZ58" s="287">
        <f t="shared" ref="BZ58:CF58" si="23">SUM(BZ15:BZ57)</f>
        <v>100.24000000000001</v>
      </c>
      <c r="CA58" s="288">
        <f t="shared" si="23"/>
        <v>3855745.9543680004</v>
      </c>
      <c r="CB58" s="289">
        <f t="shared" si="23"/>
        <v>8967.0183780093394</v>
      </c>
      <c r="CC58" s="290">
        <f t="shared" si="23"/>
        <v>9656</v>
      </c>
      <c r="CD58" s="291">
        <f t="shared" si="23"/>
        <v>1120.8772972511674</v>
      </c>
      <c r="CE58" s="291">
        <f t="shared" si="23"/>
        <v>1207</v>
      </c>
      <c r="CF58" s="291">
        <f t="shared" si="23"/>
        <v>-688.98162199065962</v>
      </c>
      <c r="CG58" s="291">
        <f t="shared" ref="CG58:CI58" si="24">SUM(CG15:CG57)</f>
        <v>3855745.9543680004</v>
      </c>
      <c r="CH58" s="291">
        <f t="shared" si="24"/>
        <v>4059562.3809523811</v>
      </c>
      <c r="CI58" s="291">
        <f t="shared" si="24"/>
        <v>-203816.42658438062</v>
      </c>
      <c r="CJ58" s="336"/>
      <c r="CK58" s="291">
        <f>SUM(CK15:CK57)</f>
        <v>-61144.927975314167</v>
      </c>
      <c r="CL58" s="291">
        <f>SUM(CL15:CL57)</f>
        <v>8303.6309523809523</v>
      </c>
      <c r="CM58" s="342">
        <f>SUM(CM15:CM57)</f>
        <v>1395010</v>
      </c>
      <c r="CO58" s="291">
        <f>SUM(CO15:CO57)</f>
        <v>-142671.49860906642</v>
      </c>
      <c r="CY58" s="221">
        <v>44</v>
      </c>
      <c r="CZ58" s="204"/>
      <c r="DA58" s="204"/>
      <c r="DB58" s="204"/>
      <c r="DC58" s="215"/>
      <c r="DD58" s="215"/>
      <c r="DE58" s="350"/>
      <c r="DF58" s="350"/>
      <c r="DG58" s="350">
        <f t="shared" si="18"/>
        <v>0</v>
      </c>
      <c r="DH58" s="350">
        <f t="shared" si="19"/>
        <v>0</v>
      </c>
      <c r="DI58" s="204"/>
      <c r="DJ58" s="204"/>
      <c r="DK58" s="204"/>
      <c r="DL58" s="204"/>
      <c r="DM58" s="204"/>
    </row>
    <row r="59" spans="1:117" ht="15.75" customHeight="1" thickBot="1" x14ac:dyDescent="0.3">
      <c r="AE59" s="221">
        <v>45</v>
      </c>
      <c r="AP59" s="361" t="s">
        <v>35</v>
      </c>
      <c r="AQ59" s="48"/>
      <c r="AR59" s="243"/>
      <c r="AS59" s="57"/>
      <c r="AT59" s="33">
        <f>AR35*AS58/100</f>
        <v>0.84</v>
      </c>
      <c r="AU59" s="240" t="s">
        <v>56</v>
      </c>
      <c r="AV59" s="52">
        <v>50</v>
      </c>
      <c r="AW59" s="173" t="s">
        <v>29</v>
      </c>
      <c r="AX59" s="29">
        <f>$AT$59*AV59/100</f>
        <v>0.42</v>
      </c>
      <c r="AY59" s="5">
        <f t="shared" si="9"/>
        <v>16155.360144</v>
      </c>
      <c r="AZ59" s="6">
        <f>AY59/(CL21*BB59)</f>
        <v>33.926256302399999</v>
      </c>
      <c r="BA59" s="292">
        <f t="shared" si="17"/>
        <v>4.2407820377999998</v>
      </c>
      <c r="BB59" s="32">
        <v>1</v>
      </c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6"/>
      <c r="BZ59" s="97"/>
      <c r="CA59" s="98"/>
      <c r="CB59" s="99"/>
      <c r="CC59" s="99"/>
      <c r="CD59" s="99"/>
      <c r="CE59" s="99"/>
      <c r="CF59" s="99"/>
      <c r="CG59" s="99"/>
      <c r="CH59" s="99"/>
      <c r="CY59" s="221">
        <v>45</v>
      </c>
      <c r="CZ59" s="204"/>
      <c r="DA59" s="204"/>
      <c r="DB59" s="204"/>
      <c r="DC59" s="215"/>
      <c r="DD59" s="215"/>
      <c r="DE59" s="350"/>
      <c r="DF59" s="350"/>
      <c r="DG59" s="350">
        <f t="shared" si="18"/>
        <v>0</v>
      </c>
      <c r="DH59" s="350">
        <f t="shared" si="19"/>
        <v>0</v>
      </c>
      <c r="DI59" s="204"/>
      <c r="DJ59" s="204"/>
      <c r="DK59" s="204"/>
      <c r="DL59" s="204"/>
      <c r="DM59" s="204"/>
    </row>
    <row r="60" spans="1:117" ht="15.75" customHeight="1" thickBot="1" x14ac:dyDescent="0.3">
      <c r="AE60" s="221">
        <v>46</v>
      </c>
      <c r="AP60" s="361" t="s">
        <v>35</v>
      </c>
      <c r="AQ60" s="48"/>
      <c r="AR60" s="243"/>
      <c r="AS60" s="27">
        <v>2</v>
      </c>
      <c r="AT60" s="33">
        <f>AR35*AS54/100</f>
        <v>1.68</v>
      </c>
      <c r="AU60" s="363" t="s">
        <v>57</v>
      </c>
      <c r="AV60" s="59">
        <v>100</v>
      </c>
      <c r="AW60" s="179" t="s">
        <v>29</v>
      </c>
      <c r="AX60" s="29">
        <f>$AT$60*AV60/100</f>
        <v>1.68</v>
      </c>
      <c r="AY60" s="5">
        <f t="shared" si="9"/>
        <v>64621.440576000001</v>
      </c>
      <c r="AZ60" s="6">
        <f>AY60/(CL21*BB60)</f>
        <v>135.7050252096</v>
      </c>
      <c r="BA60" s="292">
        <f t="shared" si="17"/>
        <v>16.963128151199999</v>
      </c>
      <c r="BB60" s="32">
        <v>1</v>
      </c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6"/>
      <c r="BZ60" s="97"/>
      <c r="CA60" s="98"/>
      <c r="CB60" s="99"/>
      <c r="CC60" s="99"/>
      <c r="CD60" s="99"/>
      <c r="CE60" s="99"/>
      <c r="CF60" s="99"/>
      <c r="CG60" s="99"/>
      <c r="CH60" s="99"/>
      <c r="CY60" s="221">
        <v>46</v>
      </c>
      <c r="CZ60" s="204"/>
      <c r="DA60" s="204"/>
      <c r="DB60" s="204"/>
      <c r="DC60" s="215"/>
      <c r="DD60" s="215"/>
      <c r="DE60" s="350"/>
      <c r="DF60" s="350"/>
      <c r="DG60" s="350">
        <f t="shared" si="18"/>
        <v>0</v>
      </c>
      <c r="DH60" s="350">
        <f t="shared" si="19"/>
        <v>0</v>
      </c>
      <c r="DI60" s="204"/>
      <c r="DJ60" s="204"/>
      <c r="DK60" s="204"/>
      <c r="DL60" s="204"/>
      <c r="DM60" s="204"/>
    </row>
    <row r="61" spans="1:117" ht="15.75" customHeight="1" thickBot="1" x14ac:dyDescent="0.3">
      <c r="AE61" s="221">
        <v>47</v>
      </c>
      <c r="AP61" s="361" t="s">
        <v>35</v>
      </c>
      <c r="AQ61" s="48"/>
      <c r="AR61" s="243"/>
      <c r="AS61" s="41">
        <v>6</v>
      </c>
      <c r="AT61" s="2"/>
      <c r="AU61" s="240" t="s">
        <v>58</v>
      </c>
      <c r="AV61" s="50">
        <v>30</v>
      </c>
      <c r="AW61" s="174" t="s">
        <v>30</v>
      </c>
      <c r="AX61" s="29">
        <f>$AT$63*AV61/100</f>
        <v>0.75599999999999989</v>
      </c>
      <c r="AY61" s="5">
        <f t="shared" si="9"/>
        <v>29079.648259199996</v>
      </c>
      <c r="AZ61" s="6">
        <f>AY61/(CL22*BB61)</f>
        <v>69.791155822079986</v>
      </c>
      <c r="BA61" s="292">
        <f t="shared" si="17"/>
        <v>8.7238944777599983</v>
      </c>
      <c r="BB61" s="32">
        <v>1</v>
      </c>
      <c r="BC61" s="94"/>
      <c r="BD61" s="94"/>
      <c r="BE61" s="94"/>
      <c r="BF61" s="94"/>
      <c r="BG61" s="94"/>
      <c r="BH61" s="94"/>
      <c r="BI61" s="94"/>
      <c r="BJ61" s="94"/>
      <c r="BK61" s="94"/>
      <c r="BL61" s="94"/>
      <c r="BM61" s="94"/>
      <c r="BN61" s="94"/>
      <c r="BO61" s="94"/>
      <c r="BP61" s="94"/>
      <c r="BQ61" s="94"/>
      <c r="BR61" s="94"/>
      <c r="BS61" s="94"/>
      <c r="BT61" s="94"/>
      <c r="BU61" s="94"/>
      <c r="BV61" s="94"/>
      <c r="BW61" s="94"/>
      <c r="BX61" s="94"/>
      <c r="BY61" s="96"/>
      <c r="BZ61" s="97"/>
      <c r="CA61" s="98"/>
      <c r="CB61" s="99"/>
      <c r="CC61" s="99"/>
      <c r="CD61" s="99"/>
      <c r="CE61" s="99"/>
      <c r="CF61" s="99"/>
      <c r="CG61" s="99"/>
      <c r="CH61" s="99"/>
      <c r="CY61" s="221">
        <v>47</v>
      </c>
      <c r="CZ61" s="204"/>
      <c r="DA61" s="204"/>
      <c r="DB61" s="204"/>
      <c r="DC61" s="215"/>
      <c r="DD61" s="215"/>
      <c r="DE61" s="350"/>
      <c r="DF61" s="350"/>
      <c r="DG61" s="350">
        <f t="shared" si="18"/>
        <v>0</v>
      </c>
      <c r="DH61" s="350">
        <f t="shared" si="19"/>
        <v>0</v>
      </c>
      <c r="DI61" s="204"/>
      <c r="DJ61" s="204"/>
      <c r="DK61" s="204"/>
      <c r="DL61" s="204"/>
      <c r="DM61" s="204"/>
    </row>
    <row r="62" spans="1:117" ht="15.75" customHeight="1" thickBot="1" x14ac:dyDescent="0.3">
      <c r="AE62" s="221">
        <v>48</v>
      </c>
      <c r="AP62" s="361" t="s">
        <v>35</v>
      </c>
      <c r="AQ62" s="48"/>
      <c r="AR62" s="243"/>
      <c r="AS62" s="27"/>
      <c r="AT62" s="48"/>
      <c r="AU62" s="240" t="s">
        <v>58</v>
      </c>
      <c r="AV62" s="51">
        <v>30</v>
      </c>
      <c r="AW62" s="160" t="s">
        <v>28</v>
      </c>
      <c r="AX62" s="29">
        <f>$AT$63*AV62/100</f>
        <v>0.75599999999999989</v>
      </c>
      <c r="AY62" s="5">
        <f t="shared" si="9"/>
        <v>29079.648259199996</v>
      </c>
      <c r="AZ62" s="6">
        <f>AY62/(CL20*BB62)</f>
        <v>48.853809075455999</v>
      </c>
      <c r="BA62" s="292">
        <f t="shared" si="17"/>
        <v>6.1067261344319999</v>
      </c>
      <c r="BB62" s="32">
        <v>1</v>
      </c>
      <c r="BC62" s="94"/>
      <c r="BD62" s="94"/>
      <c r="BE62" s="94"/>
      <c r="BF62" s="94"/>
      <c r="BG62" s="94"/>
      <c r="BH62" s="94"/>
      <c r="BI62" s="94"/>
      <c r="BJ62" s="94"/>
      <c r="BK62" s="94"/>
      <c r="BL62" s="94"/>
      <c r="BM62" s="94"/>
      <c r="BN62" s="94"/>
      <c r="BO62" s="94"/>
      <c r="BP62" s="94"/>
      <c r="BQ62" s="94"/>
      <c r="BR62" s="94"/>
      <c r="BS62" s="94"/>
      <c r="BT62" s="94"/>
      <c r="BU62" s="94"/>
      <c r="BV62" s="94"/>
      <c r="BW62" s="94"/>
      <c r="BX62" s="94"/>
      <c r="BY62" s="96"/>
      <c r="BZ62" s="97"/>
      <c r="CA62" s="98"/>
      <c r="CB62" s="99"/>
      <c r="CC62" s="99"/>
      <c r="CD62" s="99"/>
      <c r="CE62" s="99"/>
      <c r="CF62" s="99"/>
      <c r="CG62" s="99"/>
      <c r="CH62" s="99"/>
      <c r="CY62" s="221">
        <v>48</v>
      </c>
      <c r="CZ62" s="204"/>
      <c r="DA62" s="204"/>
      <c r="DB62" s="204"/>
      <c r="DC62" s="215"/>
      <c r="DD62" s="215"/>
      <c r="DE62" s="350"/>
      <c r="DF62" s="350"/>
      <c r="DG62" s="350">
        <f t="shared" si="18"/>
        <v>0</v>
      </c>
      <c r="DH62" s="350">
        <f t="shared" si="19"/>
        <v>0</v>
      </c>
      <c r="DI62" s="204"/>
      <c r="DJ62" s="204"/>
      <c r="DK62" s="204"/>
      <c r="DL62" s="204"/>
      <c r="DM62" s="204"/>
    </row>
    <row r="63" spans="1:117" ht="15.75" customHeight="1" thickBot="1" x14ac:dyDescent="0.3">
      <c r="AE63" s="221">
        <v>49</v>
      </c>
      <c r="AP63" s="361" t="s">
        <v>35</v>
      </c>
      <c r="AQ63" s="48"/>
      <c r="AR63" s="243"/>
      <c r="AS63" s="27"/>
      <c r="AT63" s="33">
        <f>AR35*AS61/100</f>
        <v>2.52</v>
      </c>
      <c r="AU63" s="240" t="s">
        <v>58</v>
      </c>
      <c r="AV63" s="52">
        <v>40</v>
      </c>
      <c r="AW63" s="176" t="s">
        <v>49</v>
      </c>
      <c r="AX63" s="29">
        <f>$AT$63*AV63/100</f>
        <v>1.008</v>
      </c>
      <c r="AY63" s="5">
        <f t="shared" si="9"/>
        <v>38772.864345600006</v>
      </c>
      <c r="AZ63" s="32">
        <f>AY63/(CL32*BB63)</f>
        <v>93.054874429440005</v>
      </c>
      <c r="BA63" s="292">
        <f t="shared" si="17"/>
        <v>11.631859303680001</v>
      </c>
      <c r="BB63" s="32">
        <v>1</v>
      </c>
      <c r="BC63" s="94"/>
      <c r="BD63" s="94"/>
      <c r="BE63" s="94"/>
      <c r="BF63" s="94"/>
      <c r="BG63" s="94"/>
      <c r="BH63" s="94"/>
      <c r="BI63" s="94"/>
      <c r="BJ63" s="94"/>
      <c r="BK63" s="94"/>
      <c r="BL63" s="94"/>
      <c r="BM63" s="94"/>
      <c r="BN63" s="94"/>
      <c r="BO63" s="94"/>
      <c r="BP63" s="94"/>
      <c r="BQ63" s="94"/>
      <c r="BR63" s="94"/>
      <c r="BS63" s="94"/>
      <c r="BT63" s="94"/>
      <c r="BU63" s="94"/>
      <c r="BV63" s="94"/>
      <c r="BW63" s="94"/>
      <c r="BX63" s="94"/>
      <c r="BY63" s="96"/>
      <c r="BZ63" s="97"/>
      <c r="CA63" s="98"/>
      <c r="CB63" s="99"/>
      <c r="CC63" s="99"/>
      <c r="CD63" s="99"/>
      <c r="CE63" s="99"/>
      <c r="CF63" s="99"/>
      <c r="CG63" s="99"/>
      <c r="CH63" s="99"/>
      <c r="CY63" s="221">
        <v>49</v>
      </c>
      <c r="CZ63" s="204" t="s">
        <v>252</v>
      </c>
      <c r="DA63" s="204" t="s">
        <v>253</v>
      </c>
      <c r="DB63" s="391">
        <v>41612</v>
      </c>
      <c r="DC63" s="215" t="s">
        <v>223</v>
      </c>
      <c r="DD63" s="215" t="s">
        <v>153</v>
      </c>
      <c r="DE63" s="350">
        <v>6997876</v>
      </c>
      <c r="DF63" s="350">
        <v>987666</v>
      </c>
      <c r="DG63" s="350">
        <f t="shared" si="18"/>
        <v>6010210</v>
      </c>
      <c r="DH63" s="350">
        <f t="shared" si="19"/>
        <v>1983369.3</v>
      </c>
      <c r="DI63" s="204"/>
      <c r="DJ63" s="204"/>
      <c r="DK63" s="204"/>
      <c r="DL63" s="204" t="s">
        <v>138</v>
      </c>
      <c r="DM63" s="204" t="s">
        <v>251</v>
      </c>
    </row>
    <row r="64" spans="1:117" ht="15.75" customHeight="1" thickBot="1" x14ac:dyDescent="0.3">
      <c r="AE64" s="221">
        <v>50</v>
      </c>
      <c r="AP64" s="361" t="s">
        <v>35</v>
      </c>
      <c r="AQ64" s="48"/>
      <c r="AR64" s="243"/>
      <c r="AS64" s="41">
        <v>5</v>
      </c>
      <c r="AT64" s="2"/>
      <c r="AU64" s="240" t="s">
        <v>59</v>
      </c>
      <c r="AV64" s="50">
        <v>30</v>
      </c>
      <c r="AW64" s="174" t="s">
        <v>30</v>
      </c>
      <c r="AX64" s="29">
        <f>$AT$66*AV64/100</f>
        <v>0.63</v>
      </c>
      <c r="AY64" s="5">
        <f t="shared" si="9"/>
        <v>24233.040216000001</v>
      </c>
      <c r="AZ64" s="6">
        <f>AY64/(CL22*BB64)</f>
        <v>58.159296518399998</v>
      </c>
      <c r="BA64" s="292">
        <f t="shared" si="17"/>
        <v>7.2699120647999997</v>
      </c>
      <c r="BB64" s="32">
        <v>1</v>
      </c>
      <c r="BC64" s="94"/>
      <c r="BD64" s="94"/>
      <c r="BE64" s="94"/>
      <c r="BF64" s="94"/>
      <c r="BG64" s="94"/>
      <c r="BH64" s="94"/>
      <c r="BI64" s="94"/>
      <c r="BJ64" s="94"/>
      <c r="BK64" s="94"/>
      <c r="BL64" s="94"/>
      <c r="BM64" s="94"/>
      <c r="BN64" s="94"/>
      <c r="BO64" s="94"/>
      <c r="BP64" s="94"/>
      <c r="BQ64" s="94"/>
      <c r="BR64" s="94"/>
      <c r="BS64" s="94"/>
      <c r="BT64" s="94"/>
      <c r="BU64" s="94"/>
      <c r="BV64" s="94"/>
      <c r="BW64" s="94"/>
      <c r="BX64" s="94"/>
      <c r="BY64" s="96"/>
      <c r="BZ64" s="97"/>
      <c r="CA64" s="98"/>
      <c r="CB64" s="99"/>
      <c r="CC64" s="99"/>
      <c r="CD64" s="99"/>
      <c r="CE64" s="99"/>
      <c r="CF64" s="99"/>
      <c r="CG64" s="99"/>
      <c r="CH64" s="99"/>
      <c r="CY64" s="221">
        <v>50</v>
      </c>
      <c r="CZ64" s="204"/>
      <c r="DA64" s="204"/>
      <c r="DB64" s="204"/>
      <c r="DC64" s="215"/>
      <c r="DD64" s="215"/>
      <c r="DE64" s="350"/>
      <c r="DF64" s="350"/>
      <c r="DG64" s="350">
        <f t="shared" si="18"/>
        <v>0</v>
      </c>
      <c r="DH64" s="350">
        <f t="shared" si="19"/>
        <v>0</v>
      </c>
      <c r="DI64" s="204"/>
      <c r="DJ64" s="204"/>
      <c r="DK64" s="204"/>
      <c r="DL64" s="204"/>
      <c r="DM64" s="204"/>
    </row>
    <row r="65" spans="42:117" ht="15.75" customHeight="1" thickBot="1" x14ac:dyDescent="0.3">
      <c r="AP65" s="361" t="s">
        <v>35</v>
      </c>
      <c r="AQ65" s="48"/>
      <c r="AR65" s="243"/>
      <c r="AS65" s="27"/>
      <c r="AT65" s="48"/>
      <c r="AU65" s="240" t="s">
        <v>59</v>
      </c>
      <c r="AV65" s="51">
        <v>30</v>
      </c>
      <c r="AW65" s="160" t="s">
        <v>28</v>
      </c>
      <c r="AX65" s="29">
        <f>$AT$66*AV65/100</f>
        <v>0.63</v>
      </c>
      <c r="AY65" s="5">
        <f t="shared" si="9"/>
        <v>24233.040216000001</v>
      </c>
      <c r="AZ65" s="6">
        <f>AY65/(CL20*BB65)</f>
        <v>40.711507562880008</v>
      </c>
      <c r="BA65" s="292">
        <f t="shared" si="17"/>
        <v>5.0889384453600011</v>
      </c>
      <c r="BB65" s="32">
        <v>1</v>
      </c>
      <c r="BC65" s="94"/>
      <c r="BD65" s="94"/>
      <c r="BE65" s="94"/>
      <c r="BF65" s="94"/>
      <c r="BG65" s="94"/>
      <c r="BH65" s="94"/>
      <c r="BI65" s="94"/>
      <c r="BJ65" s="94"/>
      <c r="BK65" s="94"/>
      <c r="BL65" s="94"/>
      <c r="BM65" s="94"/>
      <c r="BN65" s="94"/>
      <c r="BO65" s="94"/>
      <c r="BP65" s="94"/>
      <c r="BQ65" s="94"/>
      <c r="BR65" s="94"/>
      <c r="BS65" s="94"/>
      <c r="BT65" s="94"/>
      <c r="BU65" s="94"/>
      <c r="BV65" s="94"/>
      <c r="BW65" s="94"/>
      <c r="BX65" s="94"/>
      <c r="BY65" s="96"/>
      <c r="BZ65" s="97"/>
      <c r="CA65" s="98"/>
      <c r="CB65" s="99"/>
      <c r="CC65" s="99"/>
      <c r="CD65" s="99"/>
      <c r="CE65" s="99"/>
      <c r="CF65" s="99"/>
      <c r="CG65" s="99"/>
      <c r="CH65" s="99"/>
      <c r="CY65" s="221">
        <v>51</v>
      </c>
      <c r="CZ65" s="204"/>
      <c r="DA65" s="204"/>
      <c r="DB65" s="204"/>
      <c r="DC65" s="215"/>
      <c r="DD65" s="215"/>
      <c r="DE65" s="350"/>
      <c r="DF65" s="350"/>
      <c r="DG65" s="350">
        <f t="shared" si="18"/>
        <v>0</v>
      </c>
      <c r="DH65" s="350">
        <f t="shared" si="19"/>
        <v>0</v>
      </c>
      <c r="DI65" s="204"/>
      <c r="DJ65" s="204"/>
      <c r="DK65" s="204"/>
      <c r="DL65" s="204"/>
      <c r="DM65" s="204"/>
    </row>
    <row r="66" spans="42:117" ht="15.75" customHeight="1" thickBot="1" x14ac:dyDescent="0.3">
      <c r="AP66" s="361" t="s">
        <v>35</v>
      </c>
      <c r="AQ66" s="48"/>
      <c r="AR66" s="243"/>
      <c r="AS66" s="27"/>
      <c r="AT66" s="33">
        <f>AR35*AS64/100</f>
        <v>2.1</v>
      </c>
      <c r="AU66" s="240" t="s">
        <v>59</v>
      </c>
      <c r="AV66" s="52">
        <v>40</v>
      </c>
      <c r="AW66" s="176" t="s">
        <v>49</v>
      </c>
      <c r="AX66" s="29">
        <f>$AT$66*AV66/100</f>
        <v>0.84</v>
      </c>
      <c r="AY66" s="5">
        <f t="shared" si="9"/>
        <v>32310.720288</v>
      </c>
      <c r="AZ66" s="32">
        <f>AY66/(CL32*BB66)</f>
        <v>77.545728691199997</v>
      </c>
      <c r="BA66" s="292">
        <f t="shared" si="17"/>
        <v>9.6932160863999997</v>
      </c>
      <c r="BB66" s="32">
        <v>1</v>
      </c>
      <c r="BC66" s="94"/>
      <c r="BD66" s="94"/>
      <c r="BE66" s="94"/>
      <c r="BF66" s="94"/>
      <c r="BG66" s="94"/>
      <c r="BH66" s="94"/>
      <c r="BI66" s="94"/>
      <c r="BJ66" s="94"/>
      <c r="BK66" s="94"/>
      <c r="BL66" s="94"/>
      <c r="BM66" s="94"/>
      <c r="BN66" s="94"/>
      <c r="BO66" s="94"/>
      <c r="BP66" s="94"/>
      <c r="BQ66" s="94"/>
      <c r="BR66" s="94"/>
      <c r="BS66" s="94"/>
      <c r="BT66" s="94"/>
      <c r="BU66" s="94"/>
      <c r="BV66" s="94"/>
      <c r="BW66" s="94"/>
      <c r="BX66" s="94"/>
      <c r="BY66" s="96"/>
      <c r="BZ66" s="97"/>
      <c r="CA66" s="98"/>
      <c r="CB66" s="99"/>
      <c r="CC66" s="99"/>
      <c r="CD66" s="99"/>
      <c r="CE66" s="99"/>
      <c r="CF66" s="99"/>
      <c r="CG66" s="99"/>
      <c r="CH66" s="99"/>
      <c r="CY66" s="221">
        <v>52</v>
      </c>
      <c r="CZ66" s="204"/>
      <c r="DA66" s="204"/>
      <c r="DB66" s="204"/>
      <c r="DC66" s="215"/>
      <c r="DD66" s="215"/>
      <c r="DE66" s="350"/>
      <c r="DF66" s="350"/>
      <c r="DG66" s="350">
        <f t="shared" si="18"/>
        <v>0</v>
      </c>
      <c r="DH66" s="350">
        <f t="shared" si="19"/>
        <v>0</v>
      </c>
      <c r="DI66" s="204"/>
      <c r="DJ66" s="204"/>
      <c r="DK66" s="204"/>
      <c r="DL66" s="204"/>
      <c r="DM66" s="204"/>
    </row>
    <row r="67" spans="42:117" ht="15.75" customHeight="1" thickBot="1" x14ac:dyDescent="0.3">
      <c r="AP67" s="361" t="s">
        <v>35</v>
      </c>
      <c r="AQ67" s="48"/>
      <c r="AR67" s="243"/>
      <c r="AS67" s="41">
        <v>11</v>
      </c>
      <c r="AT67" s="2"/>
      <c r="AU67" s="240" t="s">
        <v>60</v>
      </c>
      <c r="AV67" s="60">
        <v>100</v>
      </c>
      <c r="AW67" s="173" t="s">
        <v>26</v>
      </c>
      <c r="AX67" s="29">
        <f>$AT$68*AV67/100</f>
        <v>4.62</v>
      </c>
      <c r="AY67" s="5">
        <f t="shared" si="9"/>
        <v>177708.96158400003</v>
      </c>
      <c r="AZ67" s="6">
        <f>AY67/(CL18*BB67)</f>
        <v>497.58509243520007</v>
      </c>
      <c r="BA67" s="292">
        <f t="shared" si="17"/>
        <v>62.198136554400008</v>
      </c>
      <c r="BB67" s="32">
        <v>1</v>
      </c>
      <c r="BC67" s="94"/>
      <c r="BD67" s="94"/>
      <c r="BE67" s="94"/>
      <c r="BF67" s="94"/>
      <c r="BG67" s="94"/>
      <c r="BH67" s="94"/>
      <c r="BI67" s="94"/>
      <c r="BJ67" s="94"/>
      <c r="BK67" s="94"/>
      <c r="BL67" s="94"/>
      <c r="BM67" s="94"/>
      <c r="BN67" s="94"/>
      <c r="BO67" s="94"/>
      <c r="BP67" s="94"/>
      <c r="BQ67" s="94"/>
      <c r="BR67" s="94"/>
      <c r="BS67" s="94"/>
      <c r="BT67" s="94"/>
      <c r="BU67" s="94"/>
      <c r="BV67" s="94"/>
      <c r="BW67" s="94"/>
      <c r="BX67" s="94"/>
      <c r="BY67" s="96"/>
      <c r="BZ67" s="97"/>
      <c r="CA67" s="98"/>
      <c r="CB67" s="99"/>
      <c r="CC67" s="99"/>
      <c r="CD67" s="99"/>
      <c r="CE67" s="99"/>
      <c r="CF67" s="99"/>
      <c r="CG67" s="99"/>
      <c r="CH67" s="99"/>
      <c r="CY67" s="221">
        <v>53</v>
      </c>
      <c r="CZ67" s="204"/>
      <c r="DA67" s="204"/>
      <c r="DB67" s="204"/>
      <c r="DC67" s="204"/>
      <c r="DD67" s="215"/>
      <c r="DE67" s="350"/>
      <c r="DF67" s="350"/>
      <c r="DG67" s="350">
        <f t="shared" si="18"/>
        <v>0</v>
      </c>
      <c r="DH67" s="350">
        <f t="shared" si="19"/>
        <v>0</v>
      </c>
      <c r="DI67" s="204"/>
      <c r="DJ67" s="204"/>
      <c r="DK67" s="204"/>
      <c r="DL67" s="204"/>
      <c r="DM67" s="204"/>
    </row>
    <row r="68" spans="42:117" ht="15.75" customHeight="1" thickBot="1" x14ac:dyDescent="0.3">
      <c r="AP68" s="361" t="s">
        <v>35</v>
      </c>
      <c r="AQ68" s="48"/>
      <c r="AR68" s="243"/>
      <c r="AS68" s="27"/>
      <c r="AT68" s="33">
        <f>AR35*AS67/100</f>
        <v>4.62</v>
      </c>
      <c r="AU68" s="240" t="s">
        <v>60</v>
      </c>
      <c r="AV68" s="40"/>
      <c r="AW68" s="176"/>
      <c r="AX68" s="29">
        <f>$AT$57*AV68/100</f>
        <v>0</v>
      </c>
      <c r="AY68" s="5"/>
      <c r="AZ68" s="6"/>
      <c r="BA68" s="292"/>
      <c r="BB68" s="32">
        <v>1</v>
      </c>
      <c r="BC68" s="94"/>
      <c r="BD68" s="94"/>
      <c r="BE68" s="94"/>
      <c r="BF68" s="94"/>
      <c r="BG68" s="94"/>
      <c r="BH68" s="94"/>
      <c r="BI68" s="94"/>
      <c r="BJ68" s="94"/>
      <c r="BK68" s="94"/>
      <c r="BL68" s="94"/>
      <c r="BM68" s="94"/>
      <c r="BN68" s="94"/>
      <c r="BO68" s="94"/>
      <c r="BP68" s="94"/>
      <c r="BQ68" s="94"/>
      <c r="BR68" s="94"/>
      <c r="BS68" s="94"/>
      <c r="BT68" s="94"/>
      <c r="BU68" s="94"/>
      <c r="BV68" s="94"/>
      <c r="BW68" s="94"/>
      <c r="BX68" s="94"/>
      <c r="BY68" s="96"/>
      <c r="BZ68" s="97"/>
      <c r="CA68" s="98"/>
      <c r="CB68" s="99"/>
      <c r="CC68" s="99"/>
      <c r="CD68" s="99"/>
      <c r="CE68" s="99"/>
      <c r="CF68" s="99"/>
      <c r="CG68" s="99"/>
      <c r="CH68" s="99"/>
      <c r="CY68" s="221">
        <v>54</v>
      </c>
      <c r="CZ68" s="204"/>
      <c r="DA68" s="204"/>
      <c r="DB68" s="204"/>
      <c r="DC68" s="204"/>
      <c r="DD68" s="215"/>
      <c r="DE68" s="350"/>
      <c r="DF68" s="350"/>
      <c r="DG68" s="350">
        <f t="shared" si="18"/>
        <v>0</v>
      </c>
      <c r="DH68" s="350">
        <f t="shared" si="19"/>
        <v>0</v>
      </c>
      <c r="DI68" s="204"/>
      <c r="DJ68" s="204"/>
      <c r="DK68" s="204"/>
      <c r="DL68" s="204"/>
      <c r="DM68" s="204"/>
    </row>
    <row r="69" spans="42:117" ht="15.75" customHeight="1" thickBot="1" x14ac:dyDescent="0.3">
      <c r="AP69" s="361" t="s">
        <v>35</v>
      </c>
      <c r="AQ69" s="48"/>
      <c r="AR69" s="243"/>
      <c r="AS69" s="41">
        <v>6</v>
      </c>
      <c r="AT69" s="2"/>
      <c r="AU69" s="240" t="s">
        <v>61</v>
      </c>
      <c r="AV69" s="46">
        <v>100</v>
      </c>
      <c r="AW69" s="173" t="s">
        <v>40</v>
      </c>
      <c r="AX69" s="29">
        <f>$AT$70*AV69/100</f>
        <v>2.52</v>
      </c>
      <c r="AY69" s="5">
        <f t="shared" si="9"/>
        <v>96932.160864000005</v>
      </c>
      <c r="AZ69" s="32">
        <f>AY69/(CL25*BB69)</f>
        <v>162.84603025152003</v>
      </c>
      <c r="BA69" s="292">
        <f t="shared" si="17"/>
        <v>20.355753781440004</v>
      </c>
      <c r="BB69" s="32">
        <v>1</v>
      </c>
      <c r="BC69" s="94"/>
      <c r="BD69" s="94"/>
      <c r="BE69" s="94"/>
      <c r="BF69" s="94"/>
      <c r="BG69" s="94"/>
      <c r="BH69" s="94"/>
      <c r="BI69" s="94"/>
      <c r="BJ69" s="94"/>
      <c r="BK69" s="94"/>
      <c r="BL69" s="94"/>
      <c r="BM69" s="94"/>
      <c r="BN69" s="94"/>
      <c r="BO69" s="94"/>
      <c r="BP69" s="94"/>
      <c r="BQ69" s="94"/>
      <c r="BR69" s="94"/>
      <c r="BS69" s="94"/>
      <c r="BT69" s="94"/>
      <c r="BU69" s="94"/>
      <c r="BV69" s="94"/>
      <c r="BW69" s="94"/>
      <c r="BX69" s="94"/>
      <c r="BY69" s="100"/>
      <c r="BZ69" s="97"/>
      <c r="CA69" s="98"/>
      <c r="CB69" s="99"/>
      <c r="CC69" s="99"/>
      <c r="CD69" s="99"/>
      <c r="CE69" s="99"/>
      <c r="CF69" s="99"/>
      <c r="CG69" s="99"/>
      <c r="CH69" s="99"/>
      <c r="CY69" s="221">
        <v>55</v>
      </c>
      <c r="CZ69" s="204"/>
      <c r="DA69" s="204"/>
      <c r="DB69" s="204"/>
      <c r="DC69" s="204"/>
      <c r="DD69" s="215"/>
      <c r="DE69" s="350"/>
      <c r="DF69" s="350"/>
      <c r="DG69" s="350">
        <f t="shared" si="18"/>
        <v>0</v>
      </c>
      <c r="DH69" s="350">
        <f t="shared" si="19"/>
        <v>0</v>
      </c>
      <c r="DI69" s="204"/>
      <c r="DJ69" s="204"/>
      <c r="DK69" s="204"/>
      <c r="DL69" s="204"/>
      <c r="DM69" s="204"/>
    </row>
    <row r="70" spans="42:117" ht="15.75" customHeight="1" thickBot="1" x14ac:dyDescent="0.3">
      <c r="AP70" s="361" t="s">
        <v>35</v>
      </c>
      <c r="AQ70" s="48"/>
      <c r="AR70" s="243"/>
      <c r="AS70" s="27"/>
      <c r="AT70" s="33">
        <f>AR35*AS69/100</f>
        <v>2.52</v>
      </c>
      <c r="AU70" s="240" t="s">
        <v>61</v>
      </c>
      <c r="AV70" s="40"/>
      <c r="AW70" s="176"/>
      <c r="AX70" s="29">
        <f>$AT$57*AV70/100</f>
        <v>0</v>
      </c>
      <c r="AY70" s="5"/>
      <c r="AZ70" s="6"/>
      <c r="BA70" s="292"/>
      <c r="BB70" s="32">
        <v>1</v>
      </c>
      <c r="BC70" s="94"/>
      <c r="BD70" s="94"/>
      <c r="BE70" s="94"/>
      <c r="BF70" s="94"/>
      <c r="BG70" s="94"/>
      <c r="BH70" s="94"/>
      <c r="BI70" s="94"/>
      <c r="BJ70" s="94"/>
      <c r="BK70" s="94"/>
      <c r="BL70" s="94"/>
      <c r="BM70" s="94"/>
      <c r="BN70" s="94"/>
      <c r="BO70" s="94"/>
      <c r="BP70" s="94"/>
      <c r="BQ70" s="94"/>
      <c r="BR70" s="94"/>
      <c r="BS70" s="94"/>
      <c r="BT70" s="94"/>
      <c r="BU70" s="94"/>
      <c r="BV70" s="94"/>
      <c r="BW70" s="94"/>
      <c r="BX70" s="94"/>
      <c r="BY70" s="100"/>
      <c r="BZ70" s="97"/>
      <c r="CA70" s="98"/>
      <c r="CB70" s="99"/>
      <c r="CC70" s="99"/>
      <c r="CD70" s="99"/>
      <c r="CE70" s="99"/>
      <c r="CF70" s="99"/>
      <c r="CG70" s="99"/>
      <c r="CH70" s="99"/>
      <c r="CY70" s="221">
        <v>56</v>
      </c>
      <c r="CZ70" s="204"/>
      <c r="DA70" s="204"/>
      <c r="DB70" s="204"/>
      <c r="DC70" s="204"/>
      <c r="DD70" s="215"/>
      <c r="DE70" s="350"/>
      <c r="DF70" s="350"/>
      <c r="DG70" s="350">
        <f t="shared" si="18"/>
        <v>0</v>
      </c>
      <c r="DH70" s="350">
        <f t="shared" si="19"/>
        <v>0</v>
      </c>
      <c r="DI70" s="204"/>
      <c r="DJ70" s="204"/>
      <c r="DK70" s="204"/>
      <c r="DL70" s="204"/>
      <c r="DM70" s="204"/>
    </row>
    <row r="71" spans="42:117" ht="15.75" customHeight="1" thickBot="1" x14ac:dyDescent="0.3">
      <c r="AP71" s="361" t="s">
        <v>35</v>
      </c>
      <c r="AQ71" s="48"/>
      <c r="AR71" s="243"/>
      <c r="AS71" s="41">
        <v>6</v>
      </c>
      <c r="AT71" s="2"/>
      <c r="AU71" s="240" t="s">
        <v>62</v>
      </c>
      <c r="AV71" s="50">
        <v>100</v>
      </c>
      <c r="AW71" s="174" t="s">
        <v>40</v>
      </c>
      <c r="AX71" s="29">
        <f>$AT$72*AV71/100</f>
        <v>2.52</v>
      </c>
      <c r="AY71" s="5">
        <f t="shared" si="9"/>
        <v>96932.160864000005</v>
      </c>
      <c r="AZ71" s="32">
        <f>AY71/(CL25*BB71)</f>
        <v>162.84603025152003</v>
      </c>
      <c r="BA71" s="292">
        <f t="shared" si="17"/>
        <v>20.355753781440004</v>
      </c>
      <c r="BB71" s="32">
        <v>1</v>
      </c>
      <c r="BC71" s="94"/>
      <c r="BD71" s="94"/>
      <c r="BE71" s="94"/>
      <c r="BF71" s="94"/>
      <c r="BG71" s="94"/>
      <c r="BH71" s="94"/>
      <c r="BI71" s="94"/>
      <c r="BJ71" s="94"/>
      <c r="BK71" s="94"/>
      <c r="BL71" s="94"/>
      <c r="BM71" s="94"/>
      <c r="BN71" s="94"/>
      <c r="BO71" s="94"/>
      <c r="BP71" s="94"/>
      <c r="BQ71" s="94"/>
      <c r="BR71" s="94"/>
      <c r="BS71" s="94"/>
      <c r="BT71" s="94"/>
      <c r="BU71" s="94"/>
      <c r="BV71" s="94"/>
      <c r="BW71" s="94"/>
      <c r="BX71" s="94"/>
      <c r="BY71" s="96"/>
      <c r="BZ71" s="97"/>
      <c r="CA71" s="98"/>
      <c r="CB71" s="99"/>
      <c r="CC71" s="99"/>
      <c r="CD71" s="99"/>
      <c r="CE71" s="99"/>
      <c r="CF71" s="99"/>
      <c r="CG71" s="99"/>
      <c r="CH71" s="99"/>
      <c r="CY71" s="221">
        <v>57</v>
      </c>
      <c r="CZ71" s="204"/>
      <c r="DA71" s="204"/>
      <c r="DB71" s="204"/>
      <c r="DC71" s="204"/>
      <c r="DD71" s="215"/>
      <c r="DE71" s="350"/>
      <c r="DF71" s="350"/>
      <c r="DG71" s="350">
        <f t="shared" si="18"/>
        <v>0</v>
      </c>
      <c r="DH71" s="350">
        <f t="shared" si="19"/>
        <v>0</v>
      </c>
      <c r="DI71" s="204"/>
      <c r="DJ71" s="204"/>
      <c r="DK71" s="204"/>
      <c r="DL71" s="204"/>
      <c r="DM71" s="204"/>
    </row>
    <row r="72" spans="42:117" ht="15.75" customHeight="1" thickBot="1" x14ac:dyDescent="0.3">
      <c r="AP72" s="361" t="s">
        <v>35</v>
      </c>
      <c r="AQ72" s="48"/>
      <c r="AR72" s="243"/>
      <c r="AS72" s="27"/>
      <c r="AT72" s="33">
        <f>AR35*AS71/100</f>
        <v>2.52</v>
      </c>
      <c r="AU72" s="240" t="s">
        <v>62</v>
      </c>
      <c r="AV72" s="52"/>
      <c r="AW72" s="181"/>
      <c r="AX72" s="29">
        <f>$AT$57*AV72/100</f>
        <v>0</v>
      </c>
      <c r="AY72" s="5"/>
      <c r="AZ72" s="6"/>
      <c r="BA72" s="292"/>
      <c r="BB72" s="32">
        <v>1</v>
      </c>
      <c r="BC72" s="94"/>
      <c r="BD72" s="94"/>
      <c r="BE72" s="94"/>
      <c r="BF72" s="94"/>
      <c r="BG72" s="94"/>
      <c r="BH72" s="94"/>
      <c r="BI72" s="94"/>
      <c r="BJ72" s="94"/>
      <c r="BK72" s="94"/>
      <c r="BL72" s="94"/>
      <c r="BM72" s="94"/>
      <c r="BN72" s="94"/>
      <c r="BO72" s="94"/>
      <c r="BP72" s="94"/>
      <c r="BQ72" s="94"/>
      <c r="BR72" s="94"/>
      <c r="BS72" s="94"/>
      <c r="BT72" s="94"/>
      <c r="BU72" s="94"/>
      <c r="BV72" s="94"/>
      <c r="BW72" s="94"/>
      <c r="BX72" s="94"/>
      <c r="BY72" s="101"/>
      <c r="BZ72" s="97"/>
      <c r="CA72" s="98"/>
      <c r="CB72" s="99"/>
      <c r="CC72" s="99"/>
      <c r="CD72" s="99"/>
      <c r="CE72" s="99"/>
      <c r="CF72" s="99"/>
      <c r="CG72" s="99"/>
      <c r="CH72" s="99"/>
      <c r="CY72" s="221">
        <v>58</v>
      </c>
      <c r="CZ72" s="204"/>
      <c r="DA72" s="204"/>
      <c r="DB72" s="204"/>
      <c r="DC72" s="204"/>
      <c r="DD72" s="215"/>
      <c r="DE72" s="350"/>
      <c r="DF72" s="350"/>
      <c r="DG72" s="350">
        <f t="shared" si="18"/>
        <v>0</v>
      </c>
      <c r="DH72" s="350">
        <f t="shared" si="19"/>
        <v>0</v>
      </c>
      <c r="DI72" s="204"/>
      <c r="DJ72" s="204"/>
      <c r="DK72" s="204"/>
      <c r="DL72" s="204"/>
      <c r="DM72" s="204"/>
    </row>
    <row r="73" spans="42:117" ht="15.75" customHeight="1" thickBot="1" x14ac:dyDescent="0.3">
      <c r="AP73" s="361" t="s">
        <v>35</v>
      </c>
      <c r="AQ73" s="48"/>
      <c r="AR73" s="243"/>
      <c r="AS73" s="41">
        <v>5</v>
      </c>
      <c r="AT73" s="2"/>
      <c r="AU73" s="240" t="s">
        <v>63</v>
      </c>
      <c r="AV73" s="50">
        <v>100</v>
      </c>
      <c r="AW73" s="182" t="s">
        <v>44</v>
      </c>
      <c r="AX73" s="29">
        <f>$AT$74*AV73/100</f>
        <v>2.1</v>
      </c>
      <c r="AY73" s="5">
        <f t="shared" si="9"/>
        <v>80776.800719999999</v>
      </c>
      <c r="AZ73" s="32">
        <f>AY73/(CL28*BB73)</f>
        <v>226.17504201599999</v>
      </c>
      <c r="BA73" s="292">
        <f t="shared" si="17"/>
        <v>28.271880251999999</v>
      </c>
      <c r="BB73" s="32">
        <v>1</v>
      </c>
      <c r="BC73" s="94"/>
      <c r="BD73" s="94"/>
      <c r="BE73" s="94"/>
      <c r="BF73" s="94"/>
      <c r="BG73" s="94"/>
      <c r="BH73" s="94"/>
      <c r="BI73" s="94"/>
      <c r="BJ73" s="94"/>
      <c r="BK73" s="94"/>
      <c r="BL73" s="94"/>
      <c r="BM73" s="94"/>
      <c r="BN73" s="94"/>
      <c r="BO73" s="94"/>
      <c r="BP73" s="94"/>
      <c r="BQ73" s="94"/>
      <c r="BR73" s="94"/>
      <c r="BS73" s="94"/>
      <c r="BT73" s="94"/>
      <c r="BU73" s="94"/>
      <c r="BV73" s="94"/>
      <c r="BW73" s="94"/>
      <c r="BX73" s="94"/>
      <c r="BY73" s="102"/>
      <c r="BZ73" s="97"/>
      <c r="CA73" s="98"/>
      <c r="CB73" s="99"/>
      <c r="CC73" s="99"/>
      <c r="CD73" s="99"/>
      <c r="CE73" s="99"/>
      <c r="CF73" s="99"/>
      <c r="CG73" s="99"/>
      <c r="CH73" s="99"/>
      <c r="CY73" s="221">
        <v>59</v>
      </c>
      <c r="CZ73" s="204"/>
      <c r="DA73" s="204"/>
      <c r="DB73" s="204"/>
      <c r="DC73" s="204"/>
      <c r="DD73" s="215"/>
      <c r="DE73" s="350"/>
      <c r="DF73" s="350"/>
      <c r="DG73" s="350">
        <f t="shared" si="18"/>
        <v>0</v>
      </c>
      <c r="DH73" s="350">
        <f t="shared" si="19"/>
        <v>0</v>
      </c>
      <c r="DI73" s="204"/>
      <c r="DJ73" s="204"/>
      <c r="DK73" s="204"/>
      <c r="DL73" s="204"/>
      <c r="DM73" s="204"/>
    </row>
    <row r="74" spans="42:117" ht="15.75" customHeight="1" thickBot="1" x14ac:dyDescent="0.3">
      <c r="AP74" s="361" t="s">
        <v>35</v>
      </c>
      <c r="AQ74" s="48"/>
      <c r="AR74" s="244"/>
      <c r="AS74" s="27"/>
      <c r="AT74" s="33">
        <f>AR35*AS73/100</f>
        <v>2.1</v>
      </c>
      <c r="AU74" s="240" t="s">
        <v>63</v>
      </c>
      <c r="AV74" s="52"/>
      <c r="AW74" s="176"/>
      <c r="AX74" s="29">
        <f>$AT$57*AV74/100</f>
        <v>0</v>
      </c>
      <c r="AY74" s="5"/>
      <c r="AZ74" s="6"/>
      <c r="BA74" s="292"/>
      <c r="BB74" s="32">
        <v>1</v>
      </c>
      <c r="BC74" s="94"/>
      <c r="BD74" s="94"/>
      <c r="BE74" s="94"/>
      <c r="BF74" s="94"/>
      <c r="BG74" s="94"/>
      <c r="BH74" s="94"/>
      <c r="BI74" s="94"/>
      <c r="BJ74" s="94"/>
      <c r="BK74" s="94"/>
      <c r="BL74" s="94"/>
      <c r="BM74" s="94"/>
      <c r="BN74" s="94"/>
      <c r="BO74" s="94"/>
      <c r="BP74" s="94"/>
      <c r="BQ74" s="94"/>
      <c r="BR74" s="94"/>
      <c r="BS74" s="94"/>
      <c r="BT74" s="94"/>
      <c r="BU74" s="94"/>
      <c r="BV74" s="94"/>
      <c r="BW74" s="94"/>
      <c r="BX74" s="94"/>
      <c r="BY74" s="101"/>
      <c r="BZ74" s="97"/>
      <c r="CA74" s="98"/>
      <c r="CB74" s="99"/>
      <c r="CC74" s="99"/>
      <c r="CD74" s="99"/>
      <c r="CE74" s="99"/>
      <c r="CF74" s="99"/>
      <c r="CG74" s="99"/>
      <c r="CH74" s="99"/>
      <c r="CY74" s="221">
        <v>60</v>
      </c>
      <c r="CZ74" s="204"/>
      <c r="DA74" s="204"/>
      <c r="DB74" s="204"/>
      <c r="DC74" s="204"/>
      <c r="DD74" s="215"/>
      <c r="DE74" s="350"/>
      <c r="DF74" s="350"/>
      <c r="DG74" s="350">
        <f t="shared" si="18"/>
        <v>0</v>
      </c>
      <c r="DH74" s="350">
        <f t="shared" si="19"/>
        <v>0</v>
      </c>
      <c r="DI74" s="204"/>
      <c r="DJ74" s="204"/>
      <c r="DK74" s="204"/>
      <c r="DL74" s="204"/>
      <c r="DM74" s="204"/>
    </row>
    <row r="75" spans="42:117" ht="15.75" customHeight="1" thickBot="1" x14ac:dyDescent="0.3">
      <c r="AP75" s="361" t="s">
        <v>35</v>
      </c>
      <c r="AQ75" s="48"/>
      <c r="AR75" s="242">
        <v>6</v>
      </c>
      <c r="AS75" s="246"/>
      <c r="AT75" s="247"/>
      <c r="AU75" s="240" t="s">
        <v>64</v>
      </c>
      <c r="AV75" s="46">
        <v>100</v>
      </c>
      <c r="AW75" s="159" t="s">
        <v>25</v>
      </c>
      <c r="AX75" s="29">
        <f>$AR$75*AV75/100</f>
        <v>6</v>
      </c>
      <c r="AY75" s="5">
        <f t="shared" si="9"/>
        <v>230790.85920000001</v>
      </c>
      <c r="AZ75" s="6">
        <f>AY75/(CL17*BB75)</f>
        <v>553.89806208000005</v>
      </c>
      <c r="BA75" s="292">
        <f t="shared" si="17"/>
        <v>69.237257760000006</v>
      </c>
      <c r="BB75" s="32">
        <v>1</v>
      </c>
      <c r="BC75" s="94"/>
      <c r="BD75" s="94"/>
      <c r="BE75" s="94"/>
      <c r="BF75" s="94"/>
      <c r="BG75" s="94"/>
      <c r="BH75" s="94"/>
      <c r="BI75" s="94"/>
      <c r="BJ75" s="94"/>
      <c r="BK75" s="94"/>
      <c r="BL75" s="94"/>
      <c r="BM75" s="94"/>
      <c r="BN75" s="94"/>
      <c r="BO75" s="94"/>
      <c r="BP75" s="94"/>
      <c r="BQ75" s="94"/>
      <c r="BR75" s="94"/>
      <c r="BS75" s="94"/>
      <c r="BT75" s="94"/>
      <c r="BU75" s="94"/>
      <c r="BV75" s="94"/>
      <c r="BW75" s="94"/>
      <c r="BX75" s="94"/>
      <c r="BY75" s="101"/>
      <c r="BZ75" s="97"/>
      <c r="CA75" s="98"/>
      <c r="CB75" s="99"/>
      <c r="CC75" s="99"/>
      <c r="CD75" s="99"/>
      <c r="CE75" s="99"/>
      <c r="CF75" s="99"/>
      <c r="CG75" s="99"/>
      <c r="CH75" s="99"/>
      <c r="CY75" s="221">
        <v>61</v>
      </c>
      <c r="CZ75" s="204"/>
      <c r="DA75" s="204"/>
      <c r="DB75" s="204"/>
      <c r="DC75" s="204"/>
      <c r="DD75" s="204"/>
      <c r="DE75" s="350"/>
      <c r="DF75" s="350"/>
      <c r="DG75" s="350">
        <f t="shared" si="18"/>
        <v>0</v>
      </c>
      <c r="DH75" s="350">
        <f t="shared" si="19"/>
        <v>0</v>
      </c>
      <c r="DI75" s="204"/>
      <c r="DJ75" s="204"/>
      <c r="DK75" s="204"/>
      <c r="DL75" s="204"/>
      <c r="DM75" s="204"/>
    </row>
    <row r="76" spans="42:117" ht="15.75" customHeight="1" thickBot="1" x14ac:dyDescent="0.3">
      <c r="AP76" s="361" t="s">
        <v>35</v>
      </c>
      <c r="AQ76" s="48"/>
      <c r="AR76" s="244"/>
      <c r="AS76" s="248"/>
      <c r="AT76" s="70"/>
      <c r="AU76" s="240" t="s">
        <v>64</v>
      </c>
      <c r="AV76" s="61"/>
      <c r="AW76" s="177"/>
      <c r="AX76" s="38">
        <f>$AT$57*AV76/100</f>
        <v>0</v>
      </c>
      <c r="AY76" s="10"/>
      <c r="AZ76" s="11"/>
      <c r="BA76" s="292"/>
      <c r="BB76" s="32">
        <v>1</v>
      </c>
      <c r="BC76" s="94"/>
      <c r="BD76" s="94"/>
      <c r="BE76" s="94"/>
      <c r="BF76" s="94"/>
      <c r="BG76" s="94"/>
      <c r="BH76" s="94"/>
      <c r="BI76" s="94"/>
      <c r="BJ76" s="94"/>
      <c r="BK76" s="94"/>
      <c r="BL76" s="94"/>
      <c r="BM76" s="94"/>
      <c r="BN76" s="94"/>
      <c r="BO76" s="94"/>
      <c r="BP76" s="94"/>
      <c r="BQ76" s="94"/>
      <c r="BR76" s="94"/>
      <c r="BS76" s="94"/>
      <c r="BT76" s="94"/>
      <c r="BU76" s="94"/>
      <c r="BV76" s="94"/>
      <c r="BW76" s="94"/>
      <c r="BX76" s="94"/>
      <c r="BY76" s="101"/>
      <c r="BZ76" s="97"/>
      <c r="CA76" s="98"/>
      <c r="CB76" s="99"/>
      <c r="CC76" s="99"/>
      <c r="CD76" s="99"/>
      <c r="CE76" s="99"/>
      <c r="CF76" s="99"/>
      <c r="CG76" s="99"/>
      <c r="CH76" s="99"/>
      <c r="CY76" s="221">
        <v>62</v>
      </c>
      <c r="CZ76" s="204"/>
      <c r="DA76" s="204"/>
      <c r="DB76" s="204"/>
      <c r="DC76" s="204"/>
      <c r="DD76" s="204"/>
      <c r="DE76" s="350"/>
      <c r="DF76" s="350"/>
      <c r="DG76" s="350">
        <f t="shared" si="18"/>
        <v>0</v>
      </c>
      <c r="DH76" s="350">
        <f t="shared" si="19"/>
        <v>0</v>
      </c>
      <c r="DI76" s="204"/>
      <c r="DJ76" s="204"/>
      <c r="DK76" s="204"/>
      <c r="DL76" s="204"/>
      <c r="DM76" s="204"/>
    </row>
    <row r="77" spans="42:117" ht="15.75" thickBot="1" x14ac:dyDescent="0.3">
      <c r="AQ77" s="158"/>
      <c r="AR77" s="408" t="s">
        <v>31</v>
      </c>
      <c r="AS77" s="409"/>
      <c r="AT77" s="409"/>
      <c r="AU77" s="409"/>
      <c r="AV77" s="12">
        <f>SUM(AS35:AS76)</f>
        <v>100</v>
      </c>
      <c r="AW77" s="183"/>
      <c r="AX77" s="14">
        <f>SUM(AX35:AX76)</f>
        <v>48.840000000000011</v>
      </c>
      <c r="AY77" s="15">
        <f>SUM(AY35:AY76)</f>
        <v>1878637.5938880001</v>
      </c>
      <c r="AZ77" s="16">
        <f>SUM(AZ35:AZ76)</f>
        <v>4347.693595415808</v>
      </c>
      <c r="BA77" s="17">
        <f>SUM(BA35:BA76)</f>
        <v>543.461699426976</v>
      </c>
      <c r="BB77" s="95"/>
      <c r="BC77" s="95"/>
      <c r="BD77" s="95"/>
      <c r="BE77" s="95"/>
      <c r="BF77" s="95"/>
      <c r="BG77" s="95"/>
      <c r="BH77" s="95"/>
      <c r="BI77" s="95"/>
      <c r="BJ77" s="95"/>
      <c r="BK77" s="95"/>
      <c r="BL77" s="95"/>
      <c r="BM77" s="95"/>
      <c r="BN77" s="95"/>
      <c r="BO77" s="95"/>
      <c r="BP77" s="95"/>
      <c r="BQ77" s="95"/>
      <c r="BR77" s="95"/>
      <c r="BS77" s="95"/>
      <c r="BT77" s="95"/>
      <c r="BU77" s="95"/>
      <c r="BV77" s="95"/>
      <c r="BW77" s="95"/>
      <c r="BX77" s="95"/>
      <c r="BY77" s="103"/>
      <c r="BZ77" s="104"/>
      <c r="CA77" s="105"/>
      <c r="CB77" s="103"/>
      <c r="CC77" s="103"/>
      <c r="CD77" s="106"/>
      <c r="CE77" s="106"/>
      <c r="CF77" s="106"/>
      <c r="CG77" s="106"/>
      <c r="CH77" s="106"/>
      <c r="CY77" s="221">
        <v>63</v>
      </c>
      <c r="CZ77" s="212"/>
      <c r="DA77" s="204"/>
      <c r="DB77" s="204"/>
      <c r="DC77" s="204"/>
      <c r="DD77" s="204"/>
      <c r="DE77" s="350"/>
      <c r="DF77" s="350"/>
      <c r="DG77" s="350">
        <f t="shared" si="18"/>
        <v>0</v>
      </c>
      <c r="DH77" s="350">
        <f t="shared" si="19"/>
        <v>0</v>
      </c>
      <c r="DI77" s="204"/>
      <c r="DJ77" s="204"/>
      <c r="DK77" s="204"/>
      <c r="DL77" s="204"/>
      <c r="DM77" s="204"/>
    </row>
    <row r="78" spans="42:117" ht="15.75" thickBot="1" x14ac:dyDescent="0.3">
      <c r="AQ78" s="137"/>
      <c r="AR78" s="138"/>
      <c r="AS78" s="138"/>
      <c r="AT78" s="138"/>
      <c r="AU78" s="138"/>
      <c r="AV78" s="138" t="s">
        <v>65</v>
      </c>
      <c r="AW78" s="139"/>
      <c r="AX78" s="140"/>
      <c r="AY78" s="141"/>
      <c r="AZ78" s="145"/>
      <c r="BA78" s="146"/>
      <c r="BB78" s="94"/>
      <c r="BC78" s="94"/>
      <c r="BD78" s="94"/>
      <c r="BE78" s="94"/>
      <c r="BF78" s="94"/>
      <c r="BG78" s="94"/>
      <c r="BH78" s="94"/>
      <c r="BI78" s="94"/>
      <c r="BJ78" s="94"/>
      <c r="BK78" s="94"/>
      <c r="BL78" s="94"/>
      <c r="BM78" s="94"/>
      <c r="BN78" s="94"/>
      <c r="BO78" s="94"/>
      <c r="BP78" s="94"/>
      <c r="BQ78" s="94"/>
      <c r="BR78" s="94"/>
      <c r="BS78" s="94"/>
      <c r="BT78" s="94"/>
      <c r="BU78" s="94"/>
      <c r="BV78" s="94"/>
      <c r="BW78" s="94"/>
      <c r="BX78" s="94"/>
      <c r="BY78" s="103"/>
      <c r="BZ78" s="103"/>
      <c r="CA78" s="103"/>
      <c r="CB78" s="103"/>
      <c r="CC78" s="103"/>
      <c r="CD78" s="103"/>
      <c r="CE78" s="103"/>
      <c r="CF78" s="103"/>
      <c r="CG78" s="103"/>
      <c r="CH78" s="103"/>
      <c r="CY78" s="221">
        <v>64</v>
      </c>
      <c r="CZ78" s="212"/>
      <c r="DA78" s="204"/>
      <c r="DB78" s="204"/>
      <c r="DC78" s="204"/>
      <c r="DD78" s="204"/>
      <c r="DE78" s="350"/>
      <c r="DF78" s="350"/>
      <c r="DG78" s="350">
        <f t="shared" si="18"/>
        <v>0</v>
      </c>
      <c r="DH78" s="350">
        <f t="shared" si="19"/>
        <v>0</v>
      </c>
      <c r="DI78" s="204"/>
      <c r="DJ78" s="204"/>
      <c r="DK78" s="204"/>
      <c r="DL78" s="204"/>
      <c r="DM78" s="204"/>
    </row>
    <row r="79" spans="42:117" ht="15.75" customHeight="1" thickBot="1" x14ac:dyDescent="0.3">
      <c r="AP79" s="361" t="s">
        <v>65</v>
      </c>
      <c r="AQ79" s="58">
        <v>4</v>
      </c>
      <c r="AR79" s="242">
        <v>27</v>
      </c>
      <c r="AS79" s="27">
        <v>40</v>
      </c>
      <c r="AT79" s="62"/>
      <c r="AU79" s="238" t="s">
        <v>66</v>
      </c>
      <c r="AV79" s="19">
        <v>60</v>
      </c>
      <c r="AW79" s="184" t="s">
        <v>50</v>
      </c>
      <c r="AX79" s="20">
        <f>$AT$81*AV79/100</f>
        <v>6.48</v>
      </c>
      <c r="AY79" s="21">
        <f t="shared" si="9"/>
        <v>249254.12793600003</v>
      </c>
      <c r="AZ79" s="32">
        <f>AY79/(CL33*BB79)</f>
        <v>644.13686556089169</v>
      </c>
      <c r="BA79" s="292">
        <f t="shared" si="17"/>
        <v>80.517108195111462</v>
      </c>
      <c r="BB79" s="32">
        <v>1</v>
      </c>
      <c r="BC79" s="94"/>
      <c r="BD79" s="94"/>
      <c r="BE79" s="94"/>
      <c r="BF79" s="94"/>
      <c r="BG79" s="94"/>
      <c r="BH79" s="94"/>
      <c r="BI79" s="94"/>
      <c r="BJ79" s="94"/>
      <c r="BK79" s="94"/>
      <c r="BL79" s="94"/>
      <c r="BM79" s="94"/>
      <c r="BN79" s="94"/>
      <c r="BO79" s="94"/>
      <c r="BP79" s="94"/>
      <c r="BQ79" s="94"/>
      <c r="BR79" s="94"/>
      <c r="BS79" s="94"/>
      <c r="BT79" s="94"/>
      <c r="BU79" s="94"/>
      <c r="BV79" s="94"/>
      <c r="BW79" s="94"/>
      <c r="BX79" s="94"/>
      <c r="BY79" s="103"/>
      <c r="BZ79" s="103"/>
      <c r="CA79" s="103"/>
      <c r="CB79" s="103"/>
      <c r="CC79" s="103"/>
      <c r="CD79" s="103"/>
      <c r="CE79" s="103"/>
      <c r="CF79" s="103"/>
      <c r="CG79" s="103"/>
      <c r="CH79" s="103"/>
      <c r="CY79" s="221">
        <v>65</v>
      </c>
      <c r="CZ79" s="212"/>
      <c r="DA79" s="204"/>
      <c r="DB79" s="204"/>
      <c r="DC79" s="204"/>
      <c r="DD79" s="204"/>
      <c r="DE79" s="350"/>
      <c r="DF79" s="350"/>
      <c r="DG79" s="350">
        <f t="shared" si="18"/>
        <v>0</v>
      </c>
      <c r="DH79" s="350">
        <f t="shared" si="19"/>
        <v>0</v>
      </c>
      <c r="DI79" s="204"/>
      <c r="DJ79" s="204"/>
      <c r="DK79" s="204"/>
      <c r="DL79" s="204"/>
      <c r="DM79" s="204"/>
    </row>
    <row r="80" spans="42:117" ht="15.75" customHeight="1" thickBot="1" x14ac:dyDescent="0.3">
      <c r="AP80" s="361" t="s">
        <v>65</v>
      </c>
      <c r="AQ80" s="48"/>
      <c r="AR80" s="243"/>
      <c r="AS80" s="27"/>
      <c r="AT80" s="62"/>
      <c r="AU80" s="238" t="s">
        <v>66</v>
      </c>
      <c r="AV80" s="19">
        <v>40</v>
      </c>
      <c r="AW80" s="184" t="s">
        <v>43</v>
      </c>
      <c r="AX80" s="29">
        <f>$AT$81*AV80/100</f>
        <v>4.32</v>
      </c>
      <c r="AY80" s="5">
        <f t="shared" ref="AY80:AY82" si="25">$AY$11*AX80/100</f>
        <v>166169.41862400004</v>
      </c>
      <c r="AZ80" s="6">
        <f>AY80/(CL27*BB80)</f>
        <v>398.80660469760011</v>
      </c>
      <c r="BA80" s="292">
        <f t="shared" si="17"/>
        <v>49.850825587200013</v>
      </c>
      <c r="BB80" s="32">
        <v>1</v>
      </c>
      <c r="BC80" s="94"/>
      <c r="BD80" s="94"/>
      <c r="BE80" s="94"/>
      <c r="BF80" s="94"/>
      <c r="BG80" s="94"/>
      <c r="BH80" s="94"/>
      <c r="BI80" s="94"/>
      <c r="BJ80" s="94"/>
      <c r="BK80" s="94"/>
      <c r="BL80" s="94"/>
      <c r="BM80" s="94"/>
      <c r="BN80" s="94"/>
      <c r="BO80" s="94"/>
      <c r="BP80" s="94"/>
      <c r="BQ80" s="94"/>
      <c r="BR80" s="94"/>
      <c r="BS80" s="94"/>
      <c r="BT80" s="94"/>
      <c r="BU80" s="94"/>
      <c r="BV80" s="94"/>
      <c r="BW80" s="94"/>
      <c r="BX80" s="94"/>
      <c r="BY80" s="103"/>
      <c r="BZ80" s="103"/>
      <c r="CA80" s="103"/>
      <c r="CB80" s="103"/>
      <c r="CC80" s="103"/>
      <c r="CD80" s="103"/>
      <c r="CE80" s="103"/>
      <c r="CF80" s="103"/>
      <c r="CG80" s="103"/>
      <c r="CH80" s="103"/>
      <c r="CY80" s="221">
        <v>66</v>
      </c>
      <c r="CZ80" s="212"/>
      <c r="DA80" s="204"/>
      <c r="DB80" s="204"/>
      <c r="DC80" s="204"/>
      <c r="DD80" s="204"/>
      <c r="DE80" s="350"/>
      <c r="DF80" s="350"/>
      <c r="DG80" s="350">
        <f t="shared" si="18"/>
        <v>0</v>
      </c>
      <c r="DH80" s="350">
        <f t="shared" si="19"/>
        <v>0</v>
      </c>
      <c r="DI80" s="204"/>
      <c r="DJ80" s="204"/>
      <c r="DK80" s="204"/>
      <c r="DL80" s="204"/>
      <c r="DM80" s="204"/>
    </row>
    <row r="81" spans="42:135" ht="15.75" customHeight="1" thickBot="1" x14ac:dyDescent="0.3">
      <c r="AP81" s="361" t="s">
        <v>65</v>
      </c>
      <c r="AQ81" s="48"/>
      <c r="AR81" s="243"/>
      <c r="AS81" s="57"/>
      <c r="AT81" s="33">
        <f>AR79*AS79/100</f>
        <v>10.8</v>
      </c>
      <c r="AU81" s="238" t="s">
        <v>66</v>
      </c>
      <c r="AV81" s="7"/>
      <c r="AW81" s="185"/>
      <c r="AX81" s="29">
        <f>$AT$81*AV81/100</f>
        <v>0</v>
      </c>
      <c r="AY81" s="5"/>
      <c r="AZ81" s="6"/>
      <c r="BA81" s="292"/>
      <c r="BB81" s="32">
        <v>1</v>
      </c>
      <c r="BC81" s="94"/>
      <c r="BD81" s="94"/>
      <c r="BE81" s="94"/>
      <c r="BF81" s="94"/>
      <c r="BG81" s="94"/>
      <c r="BH81" s="94"/>
      <c r="BI81" s="94"/>
      <c r="BJ81" s="94"/>
      <c r="BK81" s="94"/>
      <c r="BL81" s="94"/>
      <c r="BM81" s="94"/>
      <c r="BN81" s="94"/>
      <c r="BO81" s="94"/>
      <c r="BP81" s="94"/>
      <c r="BQ81" s="94"/>
      <c r="BR81" s="94"/>
      <c r="BS81" s="94"/>
      <c r="BT81" s="94"/>
      <c r="BU81" s="94"/>
      <c r="BV81" s="94"/>
      <c r="BW81" s="94"/>
      <c r="BX81" s="94"/>
      <c r="BY81" s="430"/>
      <c r="BZ81" s="430"/>
      <c r="CA81" s="430"/>
      <c r="CB81" s="430"/>
      <c r="CC81" s="430"/>
      <c r="CD81" s="430"/>
      <c r="CE81" s="267"/>
      <c r="CF81" s="267"/>
      <c r="CG81" s="267"/>
      <c r="CH81" s="267"/>
      <c r="CY81" s="221">
        <v>67</v>
      </c>
      <c r="CZ81" s="212"/>
      <c r="DA81" s="204"/>
      <c r="DB81" s="204"/>
      <c r="DC81" s="204"/>
      <c r="DD81" s="204"/>
      <c r="DE81" s="350"/>
      <c r="DF81" s="350"/>
      <c r="DG81" s="350">
        <f t="shared" ref="DG81:DG100" si="26">DE81-DF81</f>
        <v>0</v>
      </c>
      <c r="DH81" s="350">
        <f t="shared" ref="DH81:DH100" si="27">DG81*0.33</f>
        <v>0</v>
      </c>
      <c r="DI81" s="204"/>
      <c r="DJ81" s="204"/>
      <c r="DK81" s="204"/>
      <c r="DL81" s="204"/>
      <c r="DM81" s="204"/>
    </row>
    <row r="82" spans="42:135" ht="15.75" customHeight="1" thickBot="1" x14ac:dyDescent="0.3">
      <c r="AP82" s="361" t="s">
        <v>65</v>
      </c>
      <c r="AQ82" s="48"/>
      <c r="AR82" s="243"/>
      <c r="AS82" s="63">
        <v>60</v>
      </c>
      <c r="AT82" s="62"/>
      <c r="AU82" s="238" t="s">
        <v>67</v>
      </c>
      <c r="AV82" s="64">
        <v>100</v>
      </c>
      <c r="AW82" s="186" t="s">
        <v>41</v>
      </c>
      <c r="AX82" s="29">
        <f>$AT$83*AV82/100</f>
        <v>16.2</v>
      </c>
      <c r="AY82" s="5">
        <f t="shared" si="25"/>
        <v>623135.31984000001</v>
      </c>
      <c r="AZ82" s="32">
        <f>AY82/(CL26*BB82)</f>
        <v>1308.584171664</v>
      </c>
      <c r="BA82" s="292">
        <f t="shared" si="17"/>
        <v>163.573021458</v>
      </c>
      <c r="BB82" s="32">
        <v>1</v>
      </c>
      <c r="BC82" s="94"/>
      <c r="BD82" s="94"/>
      <c r="BE82" s="94"/>
      <c r="BF82" s="94"/>
      <c r="BG82" s="94"/>
      <c r="BH82" s="94"/>
      <c r="BI82" s="94"/>
      <c r="BJ82" s="94"/>
      <c r="BK82" s="94"/>
      <c r="BL82" s="94"/>
      <c r="BM82" s="94"/>
      <c r="BN82" s="94"/>
      <c r="BO82" s="94"/>
      <c r="BP82" s="94"/>
      <c r="BQ82" s="94"/>
      <c r="BR82" s="94"/>
      <c r="BS82" s="94"/>
      <c r="BT82" s="94"/>
      <c r="BU82" s="94"/>
      <c r="BV82" s="94"/>
      <c r="BW82" s="94"/>
      <c r="BX82" s="94"/>
      <c r="BY82" s="431"/>
      <c r="BZ82" s="431"/>
      <c r="CA82" s="432"/>
      <c r="CB82" s="433"/>
      <c r="CC82" s="433"/>
      <c r="CD82" s="433"/>
      <c r="CE82" s="268"/>
      <c r="CF82" s="268"/>
      <c r="CG82" s="268"/>
      <c r="CH82" s="268"/>
      <c r="CY82" s="221">
        <v>68</v>
      </c>
      <c r="CZ82" s="212"/>
      <c r="DA82" s="204"/>
      <c r="DB82" s="204"/>
      <c r="DC82" s="204"/>
      <c r="DD82" s="204"/>
      <c r="DE82" s="350"/>
      <c r="DF82" s="350"/>
      <c r="DG82" s="350">
        <f t="shared" si="26"/>
        <v>0</v>
      </c>
      <c r="DH82" s="350">
        <f t="shared" si="27"/>
        <v>0</v>
      </c>
      <c r="DI82" s="204"/>
      <c r="DJ82" s="204"/>
      <c r="DK82" s="204"/>
      <c r="DL82" s="204"/>
      <c r="DM82" s="204"/>
    </row>
    <row r="83" spans="42:135" ht="15.75" customHeight="1" thickBot="1" x14ac:dyDescent="0.3">
      <c r="AP83" s="361" t="s">
        <v>65</v>
      </c>
      <c r="AQ83" s="48"/>
      <c r="AR83" s="244"/>
      <c r="AS83" s="63"/>
      <c r="AT83" s="28">
        <f>AR79*AS82/100</f>
        <v>16.2</v>
      </c>
      <c r="AU83" s="238" t="s">
        <v>67</v>
      </c>
      <c r="AV83" s="65"/>
      <c r="AW83" s="187"/>
      <c r="AX83" s="38">
        <f>$AT$81*AV83/100</f>
        <v>0</v>
      </c>
      <c r="AY83" s="10"/>
      <c r="AZ83" s="11"/>
      <c r="BA83" s="292"/>
      <c r="BB83" s="32">
        <v>1</v>
      </c>
      <c r="BC83" s="94"/>
      <c r="BD83" s="94"/>
      <c r="BE83" s="94"/>
      <c r="BF83" s="94"/>
      <c r="BG83" s="94"/>
      <c r="BH83" s="94"/>
      <c r="BI83" s="94"/>
      <c r="BJ83" s="94"/>
      <c r="BK83" s="94"/>
      <c r="BL83" s="94"/>
      <c r="BM83" s="94"/>
      <c r="BN83" s="94"/>
      <c r="BO83" s="94"/>
      <c r="BP83" s="94"/>
      <c r="BQ83" s="94"/>
      <c r="BR83" s="94"/>
      <c r="BS83" s="94"/>
      <c r="BT83" s="94"/>
      <c r="BU83" s="94"/>
      <c r="BV83" s="94"/>
      <c r="BW83" s="94"/>
      <c r="BX83" s="94"/>
      <c r="BY83" s="431"/>
      <c r="BZ83" s="431"/>
      <c r="CA83" s="432"/>
      <c r="CB83" s="433"/>
      <c r="CC83" s="433"/>
      <c r="CD83" s="433"/>
      <c r="CE83" s="268"/>
      <c r="CF83" s="268"/>
      <c r="CG83" s="268"/>
      <c r="CH83" s="268"/>
      <c r="CY83" s="221">
        <v>69</v>
      </c>
      <c r="CZ83" s="212"/>
      <c r="DA83" s="204"/>
      <c r="DB83" s="204"/>
      <c r="DC83" s="204"/>
      <c r="DD83" s="204"/>
      <c r="DE83" s="350"/>
      <c r="DF83" s="350"/>
      <c r="DG83" s="350">
        <f t="shared" si="26"/>
        <v>0</v>
      </c>
      <c r="DH83" s="350">
        <f t="shared" si="27"/>
        <v>0</v>
      </c>
      <c r="DI83" s="204"/>
      <c r="DJ83" s="204"/>
      <c r="DK83" s="204"/>
      <c r="DL83" s="204"/>
      <c r="DM83" s="204"/>
    </row>
    <row r="84" spans="42:135" ht="15.75" thickBot="1" x14ac:dyDescent="0.3">
      <c r="AQ84" s="158"/>
      <c r="AR84" s="408" t="s">
        <v>31</v>
      </c>
      <c r="AS84" s="409"/>
      <c r="AT84" s="409"/>
      <c r="AU84" s="409"/>
      <c r="AV84" s="12">
        <f>SUM(AS79:AS83)</f>
        <v>100</v>
      </c>
      <c r="AW84" s="13"/>
      <c r="AX84" s="14">
        <f>SUM(AX79:AX83)</f>
        <v>27</v>
      </c>
      <c r="AY84" s="15">
        <f>SUM(AY79:AY83)</f>
        <v>1038558.8664000001</v>
      </c>
      <c r="AZ84" s="16">
        <f>SUM(AZ79:AZ83)</f>
        <v>2351.527641922492</v>
      </c>
      <c r="BA84" s="294">
        <f>SUM(BA79:BA83)</f>
        <v>293.9409552403115</v>
      </c>
      <c r="BB84" s="295"/>
      <c r="BC84" s="95"/>
      <c r="BD84" s="95"/>
      <c r="BE84" s="95"/>
      <c r="BF84" s="95"/>
      <c r="BG84" s="95"/>
      <c r="BH84" s="95"/>
      <c r="BI84" s="95"/>
      <c r="BJ84" s="95"/>
      <c r="BK84" s="95"/>
      <c r="BL84" s="95"/>
      <c r="BM84" s="95"/>
      <c r="BN84" s="95"/>
      <c r="BO84" s="95"/>
      <c r="BP84" s="95"/>
      <c r="BQ84" s="95"/>
      <c r="BR84" s="95"/>
      <c r="BS84" s="95"/>
      <c r="BT84" s="95"/>
      <c r="BU84" s="95"/>
      <c r="BV84" s="95"/>
      <c r="BW84" s="95"/>
      <c r="BX84" s="95"/>
      <c r="BY84" s="431"/>
      <c r="BZ84" s="431"/>
      <c r="CA84" s="432"/>
      <c r="CB84" s="433"/>
      <c r="CC84" s="433"/>
      <c r="CD84" s="433"/>
      <c r="CE84" s="268"/>
      <c r="CF84" s="268"/>
      <c r="CG84" s="268"/>
      <c r="CH84" s="268"/>
      <c r="CY84" s="221">
        <v>70</v>
      </c>
      <c r="CZ84" s="212"/>
      <c r="DA84" s="204"/>
      <c r="DB84" s="204"/>
      <c r="DC84" s="204"/>
      <c r="DD84" s="204"/>
      <c r="DE84" s="350"/>
      <c r="DF84" s="350"/>
      <c r="DG84" s="350">
        <f t="shared" si="26"/>
        <v>0</v>
      </c>
      <c r="DH84" s="350">
        <f t="shared" si="27"/>
        <v>0</v>
      </c>
      <c r="DI84" s="204"/>
      <c r="DJ84" s="204"/>
      <c r="DK84" s="204"/>
      <c r="DL84" s="204"/>
      <c r="DM84" s="204"/>
    </row>
    <row r="85" spans="42:135" ht="15.75" thickBot="1" x14ac:dyDescent="0.3">
      <c r="AQ85" s="137"/>
      <c r="AR85" s="138"/>
      <c r="AS85" s="138"/>
      <c r="AT85" s="138"/>
      <c r="AU85" s="138"/>
      <c r="AV85" s="138" t="s">
        <v>68</v>
      </c>
      <c r="AW85" s="139"/>
      <c r="AX85" s="140"/>
      <c r="AY85" s="141"/>
      <c r="AZ85" s="145"/>
      <c r="BA85" s="146"/>
      <c r="BB85" s="94"/>
      <c r="BC85" s="94"/>
      <c r="BD85" s="94"/>
      <c r="BE85" s="94"/>
      <c r="BF85" s="94"/>
      <c r="BG85" s="94"/>
      <c r="BH85" s="94"/>
      <c r="BI85" s="94"/>
      <c r="BJ85" s="94"/>
      <c r="BK85" s="94"/>
      <c r="BL85" s="94"/>
      <c r="BM85" s="94"/>
      <c r="BN85" s="94"/>
      <c r="BO85" s="94"/>
      <c r="BP85" s="94"/>
      <c r="BQ85" s="94"/>
      <c r="BR85" s="94"/>
      <c r="BS85" s="94"/>
      <c r="BT85" s="94"/>
      <c r="BU85" s="94"/>
      <c r="BV85" s="94"/>
      <c r="BW85" s="94"/>
      <c r="BX85" s="94"/>
      <c r="BY85" s="431"/>
      <c r="BZ85" s="431"/>
      <c r="CA85" s="432"/>
      <c r="CB85" s="433"/>
      <c r="CC85" s="433"/>
      <c r="CD85" s="433"/>
      <c r="CE85" s="268"/>
      <c r="CF85" s="268"/>
      <c r="CG85" s="268"/>
      <c r="CH85" s="268"/>
      <c r="CY85" s="221">
        <v>71</v>
      </c>
      <c r="CZ85" s="212"/>
      <c r="DA85" s="204"/>
      <c r="DB85" s="204"/>
      <c r="DC85" s="204"/>
      <c r="DD85" s="204"/>
      <c r="DE85" s="350"/>
      <c r="DF85" s="350"/>
      <c r="DG85" s="350">
        <f t="shared" si="26"/>
        <v>0</v>
      </c>
      <c r="DH85" s="350">
        <f t="shared" si="27"/>
        <v>0</v>
      </c>
      <c r="DI85" s="204"/>
      <c r="DJ85" s="204"/>
      <c r="DK85" s="204"/>
      <c r="DL85" s="204"/>
      <c r="DM85" s="204"/>
    </row>
    <row r="86" spans="42:135" ht="27" customHeight="1" thickBot="1" x14ac:dyDescent="0.3">
      <c r="AP86" s="361" t="s">
        <v>68</v>
      </c>
      <c r="AQ86" s="58">
        <v>5</v>
      </c>
      <c r="AR86" s="242">
        <v>2</v>
      </c>
      <c r="AS86" s="406"/>
      <c r="AT86" s="407"/>
      <c r="AU86" s="238" t="s">
        <v>69</v>
      </c>
      <c r="AV86" s="66">
        <v>80</v>
      </c>
      <c r="AW86" s="188" t="s">
        <v>24</v>
      </c>
      <c r="AX86" s="20">
        <f>$AR$86*AV86/100</f>
        <v>1.6</v>
      </c>
      <c r="AY86" s="21">
        <f t="shared" ref="AY86:AY102" si="28">$AY$11*AX86/100</f>
        <v>61544.229120000004</v>
      </c>
      <c r="AZ86" s="22">
        <f>AY86/(CL31*BB86)</f>
        <v>129.242881152</v>
      </c>
      <c r="BA86" s="292">
        <f t="shared" ref="BA86:BA102" si="29">AZ86/8</f>
        <v>16.155360143999999</v>
      </c>
      <c r="BB86" s="32">
        <v>1</v>
      </c>
      <c r="BC86" s="94"/>
      <c r="BD86" s="94"/>
      <c r="BE86" s="94"/>
      <c r="BF86" s="94"/>
      <c r="BG86" s="94"/>
      <c r="BH86" s="94"/>
      <c r="BI86" s="94"/>
      <c r="BJ86" s="94"/>
      <c r="BK86" s="94"/>
      <c r="BL86" s="94"/>
      <c r="BM86" s="94"/>
      <c r="BN86" s="94"/>
      <c r="BO86" s="94"/>
      <c r="BP86" s="94"/>
      <c r="BQ86" s="94"/>
      <c r="BR86" s="94"/>
      <c r="BS86" s="94"/>
      <c r="BT86" s="94"/>
      <c r="BU86" s="94"/>
      <c r="BV86" s="94"/>
      <c r="BW86" s="94"/>
      <c r="BX86" s="94"/>
      <c r="BY86" s="431"/>
      <c r="BZ86" s="431"/>
      <c r="CA86" s="432"/>
      <c r="CB86" s="433"/>
      <c r="CC86" s="433"/>
      <c r="CD86" s="433"/>
      <c r="CE86" s="268"/>
      <c r="CF86" s="268"/>
      <c r="CG86" s="268"/>
      <c r="CH86" s="268"/>
      <c r="CY86" s="221">
        <v>72</v>
      </c>
      <c r="CZ86" s="212"/>
      <c r="DA86" s="204"/>
      <c r="DB86" s="204"/>
      <c r="DC86" s="204"/>
      <c r="DD86" s="204"/>
      <c r="DE86" s="350"/>
      <c r="DF86" s="350"/>
      <c r="DG86" s="350">
        <f t="shared" si="26"/>
        <v>0</v>
      </c>
      <c r="DH86" s="350">
        <f t="shared" si="27"/>
        <v>0</v>
      </c>
      <c r="DI86" s="204"/>
      <c r="DJ86" s="204"/>
      <c r="DK86" s="204"/>
      <c r="DL86" s="204"/>
      <c r="DM86" s="204"/>
    </row>
    <row r="87" spans="42:135" ht="15.75" customHeight="1" thickBot="1" x14ac:dyDescent="0.3">
      <c r="AP87" s="361" t="s">
        <v>68</v>
      </c>
      <c r="AQ87" s="48"/>
      <c r="AR87" s="244"/>
      <c r="AS87" s="411"/>
      <c r="AT87" s="412"/>
      <c r="AU87" s="238" t="s">
        <v>69</v>
      </c>
      <c r="AV87" s="67">
        <v>20</v>
      </c>
      <c r="AW87" s="189" t="s">
        <v>25</v>
      </c>
      <c r="AX87" s="29">
        <f>$AR$86*AV87/100</f>
        <v>0.4</v>
      </c>
      <c r="AY87" s="5">
        <f t="shared" si="28"/>
        <v>15386.057280000001</v>
      </c>
      <c r="AZ87" s="6">
        <f>AY87/(CL17*BB87)</f>
        <v>36.926537472</v>
      </c>
      <c r="BA87" s="292">
        <f t="shared" si="29"/>
        <v>4.615817184</v>
      </c>
      <c r="BB87" s="32">
        <v>1</v>
      </c>
      <c r="BC87" s="94"/>
      <c r="BD87" s="94"/>
      <c r="BE87" s="94"/>
      <c r="BF87" s="94"/>
      <c r="BG87" s="94"/>
      <c r="BH87" s="94"/>
      <c r="BI87" s="94"/>
      <c r="BJ87" s="94"/>
      <c r="BK87" s="94"/>
      <c r="BL87" s="94"/>
      <c r="BM87" s="94"/>
      <c r="BN87" s="94"/>
      <c r="BO87" s="94"/>
      <c r="BP87" s="94"/>
      <c r="BQ87" s="94"/>
      <c r="BR87" s="94"/>
      <c r="BS87" s="94"/>
      <c r="BT87" s="94"/>
      <c r="BU87" s="94"/>
      <c r="BV87" s="94"/>
      <c r="BW87" s="94"/>
      <c r="BX87" s="94"/>
      <c r="BY87" s="431"/>
      <c r="BZ87" s="431"/>
      <c r="CA87" s="432"/>
      <c r="CB87" s="433"/>
      <c r="CC87" s="433"/>
      <c r="CD87" s="433"/>
      <c r="CE87" s="268"/>
      <c r="CF87" s="268"/>
      <c r="CG87" s="268"/>
      <c r="CH87" s="268"/>
      <c r="CY87" s="221">
        <v>73</v>
      </c>
      <c r="CZ87" s="212"/>
      <c r="DA87" s="204"/>
      <c r="DB87" s="204"/>
      <c r="DC87" s="204"/>
      <c r="DD87" s="204"/>
      <c r="DE87" s="350"/>
      <c r="DF87" s="350"/>
      <c r="DG87" s="350">
        <f t="shared" si="26"/>
        <v>0</v>
      </c>
      <c r="DH87" s="350">
        <f t="shared" si="27"/>
        <v>0</v>
      </c>
      <c r="DI87" s="204"/>
      <c r="DJ87" s="204"/>
      <c r="DK87" s="204"/>
      <c r="DL87" s="204"/>
      <c r="DM87" s="204"/>
    </row>
    <row r="88" spans="42:135" ht="15.75" thickBot="1" x14ac:dyDescent="0.3">
      <c r="AQ88" s="158"/>
      <c r="AR88" s="408" t="s">
        <v>31</v>
      </c>
      <c r="AS88" s="409"/>
      <c r="AT88" s="409"/>
      <c r="AU88" s="409"/>
      <c r="AV88" s="12">
        <f>SUM(AV86:AV87)</f>
        <v>100</v>
      </c>
      <c r="AW88" s="13"/>
      <c r="AX88" s="14">
        <f>SUM(AX86:AX87)</f>
        <v>2</v>
      </c>
      <c r="AY88" s="15">
        <f>SUM(AY86:AY87)</f>
        <v>76930.286400000012</v>
      </c>
      <c r="AZ88" s="16">
        <f>SUM(AZ86:AZ87)</f>
        <v>166.169418624</v>
      </c>
      <c r="BA88" s="294">
        <f>SUM(BA86:BA87)</f>
        <v>20.771177328</v>
      </c>
      <c r="BB88" s="295"/>
      <c r="BC88" s="95"/>
      <c r="BD88" s="95"/>
      <c r="BE88" s="95"/>
      <c r="BF88" s="95"/>
      <c r="BG88" s="95"/>
      <c r="BH88" s="95"/>
      <c r="BI88" s="95"/>
      <c r="BJ88" s="95"/>
      <c r="BK88" s="95"/>
      <c r="BL88" s="95"/>
      <c r="BM88" s="95"/>
      <c r="BN88" s="95"/>
      <c r="BO88" s="95"/>
      <c r="BP88" s="95"/>
      <c r="BQ88" s="95"/>
      <c r="BR88" s="95"/>
      <c r="BS88" s="95"/>
      <c r="BT88" s="95"/>
      <c r="BU88" s="95"/>
      <c r="BV88" s="95"/>
      <c r="BW88" s="95"/>
      <c r="BX88" s="95"/>
      <c r="BY88" s="431"/>
      <c r="BZ88" s="431"/>
      <c r="CA88" s="432"/>
      <c r="CB88" s="433"/>
      <c r="CC88" s="433"/>
      <c r="CD88" s="433"/>
      <c r="CE88" s="268"/>
      <c r="CF88" s="268"/>
      <c r="CG88" s="268"/>
      <c r="CH88" s="268"/>
      <c r="CY88" s="221">
        <v>74</v>
      </c>
      <c r="CZ88" s="212"/>
      <c r="DA88" s="204"/>
      <c r="DB88" s="204"/>
      <c r="DC88" s="204"/>
      <c r="DD88" s="204"/>
      <c r="DE88" s="350"/>
      <c r="DF88" s="350"/>
      <c r="DG88" s="350">
        <f t="shared" si="26"/>
        <v>0</v>
      </c>
      <c r="DH88" s="350">
        <f t="shared" si="27"/>
        <v>0</v>
      </c>
      <c r="DI88" s="204"/>
      <c r="DJ88" s="204"/>
      <c r="DK88" s="204"/>
      <c r="DL88" s="204"/>
      <c r="DM88" s="204"/>
    </row>
    <row r="89" spans="42:135" ht="15.75" thickBot="1" x14ac:dyDescent="0.3">
      <c r="AQ89" s="137"/>
      <c r="AR89" s="138"/>
      <c r="AS89" s="138"/>
      <c r="AT89" s="138"/>
      <c r="AU89" s="138"/>
      <c r="AV89" s="138" t="s">
        <v>70</v>
      </c>
      <c r="AW89" s="139"/>
      <c r="AX89" s="140"/>
      <c r="AY89" s="141"/>
      <c r="AZ89" s="145"/>
      <c r="BA89" s="146"/>
      <c r="BB89" s="94"/>
      <c r="BC89" s="94"/>
      <c r="BD89" s="94"/>
      <c r="BE89" s="94"/>
      <c r="BF89" s="94"/>
      <c r="BG89" s="94"/>
      <c r="BH89" s="94"/>
      <c r="BI89" s="94"/>
      <c r="BJ89" s="94"/>
      <c r="BK89" s="94"/>
      <c r="BL89" s="94"/>
      <c r="BM89" s="94"/>
      <c r="BN89" s="94"/>
      <c r="BO89" s="94"/>
      <c r="BP89" s="94"/>
      <c r="BQ89" s="94"/>
      <c r="BR89" s="94"/>
      <c r="BS89" s="94"/>
      <c r="BT89" s="94"/>
      <c r="BU89" s="94"/>
      <c r="BV89" s="94"/>
      <c r="BW89" s="94"/>
      <c r="BX89" s="94"/>
      <c r="BY89" s="96"/>
      <c r="BZ89" s="97"/>
      <c r="CA89" s="98"/>
      <c r="CB89" s="99"/>
      <c r="CC89" s="99"/>
      <c r="CD89" s="99"/>
      <c r="CE89" s="99"/>
      <c r="CF89" s="99"/>
      <c r="CG89" s="99"/>
      <c r="CH89" s="99"/>
      <c r="CY89" s="221">
        <v>75</v>
      </c>
      <c r="CZ89" s="212"/>
      <c r="DA89" s="204"/>
      <c r="DB89" s="204"/>
      <c r="DC89" s="204"/>
      <c r="DD89" s="204"/>
      <c r="DE89" s="350"/>
      <c r="DF89" s="350"/>
      <c r="DG89" s="350">
        <f t="shared" si="26"/>
        <v>0</v>
      </c>
      <c r="DH89" s="350">
        <f t="shared" si="27"/>
        <v>0</v>
      </c>
      <c r="DI89" s="204"/>
      <c r="DJ89" s="204"/>
      <c r="DK89" s="204"/>
      <c r="DL89" s="204"/>
      <c r="DM89" s="204"/>
    </row>
    <row r="90" spans="42:135" ht="15.75" customHeight="1" thickBot="1" x14ac:dyDescent="0.3">
      <c r="AP90" s="361" t="s">
        <v>70</v>
      </c>
      <c r="AQ90" s="58">
        <v>6</v>
      </c>
      <c r="AR90" s="242">
        <v>3</v>
      </c>
      <c r="AS90" s="413"/>
      <c r="AT90" s="407"/>
      <c r="AU90" s="238" t="s">
        <v>71</v>
      </c>
      <c r="AV90" s="19">
        <v>40</v>
      </c>
      <c r="AW90" s="190" t="s">
        <v>38</v>
      </c>
      <c r="AX90" s="20">
        <f>$AR$90*AV90/100</f>
        <v>1.2</v>
      </c>
      <c r="AY90" s="21">
        <f t="shared" si="28"/>
        <v>46158.171840000003</v>
      </c>
      <c r="AZ90" s="32">
        <f>AY90/(CL24*BB90)</f>
        <v>155.09145738240002</v>
      </c>
      <c r="BA90" s="292">
        <f t="shared" si="29"/>
        <v>19.386432172800003</v>
      </c>
      <c r="BB90" s="32">
        <v>1</v>
      </c>
      <c r="BC90" s="94"/>
      <c r="BD90" s="94"/>
      <c r="BE90" s="94"/>
      <c r="BF90" s="94"/>
      <c r="BG90" s="94"/>
      <c r="BH90" s="94"/>
      <c r="BI90" s="94"/>
      <c r="BJ90" s="94"/>
      <c r="BK90" s="94"/>
      <c r="BL90" s="94"/>
      <c r="BM90" s="94"/>
      <c r="BN90" s="94"/>
      <c r="BO90" s="94"/>
      <c r="BP90" s="94"/>
      <c r="BQ90" s="94"/>
      <c r="BR90" s="94"/>
      <c r="BS90" s="94"/>
      <c r="BT90" s="94"/>
      <c r="BU90" s="94"/>
      <c r="BV90" s="94"/>
      <c r="BW90" s="94"/>
      <c r="BX90" s="94"/>
      <c r="BY90" s="96"/>
      <c r="BZ90" s="97"/>
      <c r="CA90" s="98"/>
      <c r="CB90" s="99"/>
      <c r="CC90" s="99"/>
      <c r="CD90" s="99"/>
      <c r="CE90" s="99"/>
      <c r="CF90" s="99"/>
      <c r="CG90" s="99"/>
      <c r="CH90" s="99"/>
      <c r="CY90" s="221">
        <v>76</v>
      </c>
      <c r="CZ90" s="212"/>
      <c r="DA90" s="204"/>
      <c r="DB90" s="204"/>
      <c r="DC90" s="204"/>
      <c r="DD90" s="204"/>
      <c r="DE90" s="350"/>
      <c r="DF90" s="350"/>
      <c r="DG90" s="350">
        <f t="shared" si="26"/>
        <v>0</v>
      </c>
      <c r="DH90" s="350">
        <f t="shared" si="27"/>
        <v>0</v>
      </c>
      <c r="DI90" s="204"/>
      <c r="DJ90" s="204"/>
      <c r="DK90" s="204"/>
      <c r="DL90" s="204"/>
      <c r="DM90" s="204"/>
    </row>
    <row r="91" spans="42:135" ht="15.75" customHeight="1" thickBot="1" x14ac:dyDescent="0.3">
      <c r="AP91" s="361" t="s">
        <v>70</v>
      </c>
      <c r="AQ91" s="48"/>
      <c r="AR91" s="243"/>
      <c r="AS91" s="414"/>
      <c r="AT91" s="412"/>
      <c r="AU91" s="238" t="s">
        <v>71</v>
      </c>
      <c r="AV91" s="7">
        <v>40</v>
      </c>
      <c r="AW91" s="191" t="s">
        <v>47</v>
      </c>
      <c r="AX91" s="29">
        <f>$AR$90*AV91/100</f>
        <v>1.2</v>
      </c>
      <c r="AY91" s="5">
        <f t="shared" si="28"/>
        <v>46158.171840000003</v>
      </c>
      <c r="AZ91" s="32">
        <f>AY91/(CL30*BB91)</f>
        <v>77.545728691200011</v>
      </c>
      <c r="BA91" s="292">
        <f t="shared" si="29"/>
        <v>9.6932160864000014</v>
      </c>
      <c r="BB91" s="32">
        <v>1</v>
      </c>
      <c r="BC91" s="94"/>
      <c r="BD91" s="94"/>
      <c r="BE91" s="94"/>
      <c r="BF91" s="94"/>
      <c r="BG91" s="94"/>
      <c r="BH91" s="94"/>
      <c r="BI91" s="94"/>
      <c r="BJ91" s="94"/>
      <c r="BK91" s="94"/>
      <c r="BL91" s="94"/>
      <c r="BM91" s="94"/>
      <c r="BN91" s="94"/>
      <c r="BO91" s="94"/>
      <c r="BP91" s="94"/>
      <c r="BQ91" s="94"/>
      <c r="BR91" s="94"/>
      <c r="BS91" s="94"/>
      <c r="BT91" s="94"/>
      <c r="BU91" s="94"/>
      <c r="BV91" s="94"/>
      <c r="BW91" s="94"/>
      <c r="BX91" s="94"/>
      <c r="BY91" s="96"/>
      <c r="BZ91" s="97"/>
      <c r="CA91" s="98"/>
      <c r="CB91" s="99"/>
      <c r="CC91" s="99"/>
      <c r="CD91" s="99"/>
      <c r="CE91" s="99"/>
      <c r="CF91" s="99"/>
      <c r="CG91" s="99"/>
      <c r="CH91" s="99"/>
      <c r="CY91" s="221">
        <v>77</v>
      </c>
      <c r="CZ91" s="212"/>
      <c r="DA91" s="204"/>
      <c r="DB91" s="204"/>
      <c r="DC91" s="204"/>
      <c r="DD91" s="204"/>
      <c r="DE91" s="350"/>
      <c r="DF91" s="350"/>
      <c r="DG91" s="350">
        <f t="shared" si="26"/>
        <v>0</v>
      </c>
      <c r="DH91" s="350">
        <f t="shared" si="27"/>
        <v>0</v>
      </c>
      <c r="DI91" s="204"/>
      <c r="DJ91" s="204"/>
      <c r="DK91" s="204"/>
      <c r="DL91" s="204"/>
      <c r="DM91" s="204"/>
    </row>
    <row r="92" spans="42:135" ht="15.75" customHeight="1" thickBot="1" x14ac:dyDescent="0.3">
      <c r="AP92" s="361" t="s">
        <v>70</v>
      </c>
      <c r="AQ92" s="48"/>
      <c r="AR92" s="243"/>
      <c r="AS92" s="414"/>
      <c r="AT92" s="412"/>
      <c r="AU92" s="238" t="s">
        <v>71</v>
      </c>
      <c r="AV92" s="68">
        <v>20</v>
      </c>
      <c r="AW92" s="192" t="s">
        <v>37</v>
      </c>
      <c r="AX92" s="29">
        <f>$AR$90*AV92/100</f>
        <v>0.6</v>
      </c>
      <c r="AY92" s="5">
        <f t="shared" si="28"/>
        <v>23079.085920000001</v>
      </c>
      <c r="AZ92" s="32">
        <f>AY92/(CL23*BB92)</f>
        <v>64.621440575999998</v>
      </c>
      <c r="BA92" s="292">
        <f t="shared" si="29"/>
        <v>8.0776800719999997</v>
      </c>
      <c r="BB92" s="32">
        <v>1</v>
      </c>
      <c r="BC92" s="94"/>
      <c r="BD92" s="94"/>
      <c r="BE92" s="94"/>
      <c r="BF92" s="94"/>
      <c r="BG92" s="94"/>
      <c r="BH92" s="94"/>
      <c r="BI92" s="94"/>
      <c r="BJ92" s="94"/>
      <c r="BK92" s="94"/>
      <c r="BL92" s="94"/>
      <c r="BM92" s="94"/>
      <c r="BN92" s="94"/>
      <c r="BO92" s="94"/>
      <c r="BP92" s="94"/>
      <c r="BQ92" s="94"/>
      <c r="BR92" s="94"/>
      <c r="BS92" s="94"/>
      <c r="BT92" s="94"/>
      <c r="BU92" s="94"/>
      <c r="BV92" s="94"/>
      <c r="BW92" s="94"/>
      <c r="BX92" s="94"/>
      <c r="BY92" s="96"/>
      <c r="BZ92" s="97"/>
      <c r="CA92" s="98"/>
      <c r="CB92" s="99"/>
      <c r="CC92" s="99"/>
      <c r="CD92" s="99"/>
      <c r="CE92" s="99"/>
      <c r="CF92" s="99"/>
      <c r="CG92" s="99"/>
      <c r="CH92" s="99"/>
      <c r="CY92" s="221">
        <v>78</v>
      </c>
      <c r="CZ92" s="212"/>
      <c r="DA92" s="204"/>
      <c r="DB92" s="204"/>
      <c r="DC92" s="204"/>
      <c r="DD92" s="204"/>
      <c r="DE92" s="350"/>
      <c r="DF92" s="350"/>
      <c r="DG92" s="350">
        <f t="shared" si="26"/>
        <v>0</v>
      </c>
      <c r="DH92" s="350">
        <f t="shared" si="27"/>
        <v>0</v>
      </c>
      <c r="DI92" s="204"/>
      <c r="DJ92" s="204"/>
      <c r="DK92" s="204"/>
      <c r="DL92" s="204"/>
      <c r="DM92" s="204"/>
    </row>
    <row r="93" spans="42:135" ht="15.75" thickBot="1" x14ac:dyDescent="0.3">
      <c r="AP93" s="361" t="s">
        <v>70</v>
      </c>
      <c r="AQ93" s="48"/>
      <c r="AR93" s="158"/>
      <c r="AS93" s="69"/>
      <c r="AT93" s="70"/>
      <c r="AU93" s="238" t="s">
        <v>71</v>
      </c>
      <c r="AV93" s="71"/>
      <c r="AW93" s="193"/>
      <c r="AX93" s="29">
        <f>$AT$83*AV93/100</f>
        <v>0</v>
      </c>
      <c r="AY93" s="5">
        <f t="shared" si="28"/>
        <v>0</v>
      </c>
      <c r="AZ93" s="6">
        <f>AY93/(417*93)</f>
        <v>0</v>
      </c>
      <c r="BA93" s="292">
        <f t="shared" si="29"/>
        <v>0</v>
      </c>
      <c r="BB93" s="32">
        <v>1</v>
      </c>
      <c r="BC93" s="94"/>
      <c r="BD93" s="94"/>
      <c r="BE93" s="94"/>
      <c r="BF93" s="94"/>
      <c r="BG93" s="94"/>
      <c r="BH93" s="94"/>
      <c r="BI93" s="94"/>
      <c r="BJ93" s="94"/>
      <c r="BK93" s="94"/>
      <c r="BL93" s="94"/>
      <c r="BM93" s="94"/>
      <c r="BN93" s="94"/>
      <c r="BO93" s="94"/>
      <c r="BP93" s="94"/>
      <c r="BQ93" s="94"/>
      <c r="BR93" s="94"/>
      <c r="BS93" s="94"/>
      <c r="BT93" s="94"/>
      <c r="BU93" s="94"/>
      <c r="BV93" s="94"/>
      <c r="BW93" s="94"/>
      <c r="BX93" s="94"/>
      <c r="BY93" s="96"/>
      <c r="BZ93" s="97"/>
      <c r="CA93" s="98"/>
      <c r="CB93" s="99"/>
      <c r="CC93" s="99"/>
      <c r="CD93" s="99"/>
      <c r="CE93" s="99"/>
      <c r="CF93" s="99"/>
      <c r="CG93" s="99"/>
      <c r="CH93" s="99"/>
      <c r="CY93" s="221">
        <v>79</v>
      </c>
      <c r="CZ93" s="212"/>
      <c r="DA93" s="204"/>
      <c r="DB93" s="204"/>
      <c r="DC93" s="204"/>
      <c r="DD93" s="204"/>
      <c r="DE93" s="350"/>
      <c r="DF93" s="350"/>
      <c r="DG93" s="350">
        <f t="shared" si="26"/>
        <v>0</v>
      </c>
      <c r="DH93" s="350">
        <f t="shared" si="27"/>
        <v>0</v>
      </c>
      <c r="DI93" s="204"/>
      <c r="DJ93" s="204"/>
      <c r="DK93" s="204"/>
      <c r="DL93" s="204"/>
      <c r="DM93" s="204"/>
    </row>
    <row r="94" spans="42:135" ht="15.75" thickBot="1" x14ac:dyDescent="0.3">
      <c r="AQ94" s="158"/>
      <c r="AR94" s="408" t="s">
        <v>31</v>
      </c>
      <c r="AS94" s="409"/>
      <c r="AT94" s="409"/>
      <c r="AU94" s="409"/>
      <c r="AV94" s="12">
        <f>SUM(AV90:AV92)</f>
        <v>100</v>
      </c>
      <c r="AW94" s="13"/>
      <c r="AX94" s="14">
        <f>SUM(AX90:AX93)</f>
        <v>3</v>
      </c>
      <c r="AY94" s="15">
        <f>SUM(AY90:AY93)</f>
        <v>115395.4296</v>
      </c>
      <c r="AZ94" s="16">
        <f>SUM(AZ90:AZ93)</f>
        <v>297.25862664960005</v>
      </c>
      <c r="BA94" s="294">
        <f>SUM(BA90:BA92)</f>
        <v>37.157328331200006</v>
      </c>
      <c r="BB94" s="295"/>
      <c r="BC94" s="95"/>
      <c r="BD94" s="95"/>
      <c r="BE94" s="95"/>
      <c r="BF94" s="95"/>
      <c r="BG94" s="95"/>
      <c r="BH94" s="95"/>
      <c r="BI94" s="95"/>
      <c r="BJ94" s="95"/>
      <c r="BK94" s="95"/>
      <c r="BL94" s="95"/>
      <c r="BM94" s="95"/>
      <c r="BN94" s="95"/>
      <c r="BO94" s="95"/>
      <c r="BP94" s="95"/>
      <c r="BQ94" s="95"/>
      <c r="BR94" s="95"/>
      <c r="BS94" s="95"/>
      <c r="BT94" s="95"/>
      <c r="BU94" s="95"/>
      <c r="BV94" s="95"/>
      <c r="BW94" s="95"/>
      <c r="BX94" s="95"/>
      <c r="BY94" s="96"/>
      <c r="BZ94" s="97"/>
      <c r="CA94" s="98"/>
      <c r="CB94" s="99"/>
      <c r="CC94" s="99"/>
      <c r="CD94" s="99"/>
      <c r="CE94" s="99"/>
      <c r="CF94" s="99"/>
      <c r="CG94" s="99"/>
      <c r="CH94" s="99"/>
      <c r="CY94" s="221">
        <v>80</v>
      </c>
      <c r="CZ94" s="212"/>
      <c r="DA94" s="204"/>
      <c r="DB94" s="204"/>
      <c r="DC94" s="204"/>
      <c r="DD94" s="204"/>
      <c r="DE94" s="350"/>
      <c r="DF94" s="350"/>
      <c r="DG94" s="350">
        <f t="shared" si="26"/>
        <v>0</v>
      </c>
      <c r="DH94" s="350">
        <f t="shared" si="27"/>
        <v>0</v>
      </c>
      <c r="DI94" s="204"/>
      <c r="DJ94" s="204"/>
      <c r="DK94" s="204"/>
      <c r="DL94" s="204"/>
      <c r="DM94" s="204"/>
    </row>
    <row r="95" spans="42:135" ht="15.75" thickBot="1" x14ac:dyDescent="0.3">
      <c r="AQ95" s="147"/>
      <c r="AR95" s="148"/>
      <c r="AS95" s="148"/>
      <c r="AT95" s="148"/>
      <c r="AU95" s="138"/>
      <c r="AV95" s="138" t="s">
        <v>72</v>
      </c>
      <c r="AW95" s="139"/>
      <c r="AX95" s="140"/>
      <c r="AY95" s="141"/>
      <c r="AZ95" s="145"/>
      <c r="BA95" s="146"/>
      <c r="BB95" s="94"/>
      <c r="BC95" s="94"/>
      <c r="BD95" s="94"/>
      <c r="BE95" s="94"/>
      <c r="BF95" s="94"/>
      <c r="BG95" s="94"/>
      <c r="BH95" s="94"/>
      <c r="BI95" s="94"/>
      <c r="BJ95" s="94"/>
      <c r="BK95" s="94"/>
      <c r="BL95" s="94"/>
      <c r="BM95" s="94"/>
      <c r="BN95" s="94"/>
      <c r="BO95" s="94"/>
      <c r="BP95" s="94"/>
      <c r="BQ95" s="94"/>
      <c r="BR95" s="94"/>
      <c r="BS95" s="94"/>
      <c r="BT95" s="94"/>
      <c r="BU95" s="94"/>
      <c r="BV95" s="94"/>
      <c r="BW95" s="94"/>
      <c r="BX95" s="94"/>
      <c r="BY95" s="96"/>
      <c r="BZ95" s="97"/>
      <c r="CA95" s="98"/>
      <c r="CB95" s="99"/>
      <c r="CC95" s="99"/>
      <c r="CD95" s="99"/>
      <c r="CE95" s="99"/>
      <c r="CF95" s="99"/>
      <c r="CG95" s="99"/>
      <c r="CH95" s="99"/>
      <c r="CY95" s="221">
        <v>81</v>
      </c>
      <c r="CZ95" s="212"/>
      <c r="DA95" s="204"/>
      <c r="DB95" s="204"/>
      <c r="DC95" s="204"/>
      <c r="DD95" s="204"/>
      <c r="DE95" s="350"/>
      <c r="DF95" s="350"/>
      <c r="DG95" s="350">
        <f t="shared" si="26"/>
        <v>0</v>
      </c>
      <c r="DH95" s="350">
        <f t="shared" si="27"/>
        <v>0</v>
      </c>
      <c r="DI95" s="204"/>
      <c r="DJ95" s="204"/>
      <c r="DK95" s="204"/>
      <c r="DL95" s="204"/>
      <c r="DM95" s="204"/>
    </row>
    <row r="96" spans="42:135" ht="15.75" customHeight="1" thickBot="1" x14ac:dyDescent="0.3">
      <c r="AP96" s="361" t="s">
        <v>72</v>
      </c>
      <c r="AQ96" s="58">
        <v>7</v>
      </c>
      <c r="AR96" s="242">
        <v>3</v>
      </c>
      <c r="AS96" s="406"/>
      <c r="AT96" s="407"/>
      <c r="AU96" s="72" t="s">
        <v>73</v>
      </c>
      <c r="AV96" s="66">
        <v>100</v>
      </c>
      <c r="AW96" s="194" t="s">
        <v>26</v>
      </c>
      <c r="AX96" s="20">
        <f>$AR$96*AV96/100</f>
        <v>3</v>
      </c>
      <c r="AY96" s="21">
        <f t="shared" si="28"/>
        <v>115395.4296</v>
      </c>
      <c r="AZ96" s="6">
        <f>AY96/(CL18*BB96)</f>
        <v>323.10720287999999</v>
      </c>
      <c r="BA96" s="292">
        <f t="shared" si="29"/>
        <v>40.388400359999999</v>
      </c>
      <c r="BB96" s="32">
        <v>1</v>
      </c>
      <c r="BC96" s="94"/>
      <c r="BD96" s="94"/>
      <c r="BE96" s="94"/>
      <c r="BF96" s="94"/>
      <c r="BG96" s="94"/>
      <c r="BH96" s="94"/>
      <c r="BI96" s="94"/>
      <c r="BJ96" s="94"/>
      <c r="BK96" s="94"/>
      <c r="BL96" s="94"/>
      <c r="BM96" s="94"/>
      <c r="BN96" s="94"/>
      <c r="BO96" s="94"/>
      <c r="BP96" s="94"/>
      <c r="BQ96" s="94"/>
      <c r="BR96" s="94"/>
      <c r="BS96" s="94"/>
      <c r="BT96" s="94"/>
      <c r="BU96" s="94"/>
      <c r="BV96" s="94"/>
      <c r="BW96" s="94"/>
      <c r="BX96" s="94"/>
      <c r="BY96" s="96"/>
      <c r="BZ96" s="97"/>
      <c r="CA96" s="98"/>
      <c r="CB96" s="99"/>
      <c r="CC96" s="99"/>
      <c r="CD96" s="99"/>
      <c r="CE96" s="99"/>
      <c r="CF96" s="99"/>
      <c r="CG96" s="99"/>
      <c r="CH96" s="99"/>
      <c r="CY96" s="221">
        <v>92</v>
      </c>
      <c r="CZ96" s="212"/>
      <c r="DA96" s="204"/>
      <c r="DB96" s="204"/>
      <c r="DC96" s="204"/>
      <c r="DD96" s="204"/>
      <c r="DE96" s="350"/>
      <c r="DF96" s="350"/>
      <c r="DG96" s="350">
        <f t="shared" si="26"/>
        <v>0</v>
      </c>
      <c r="DH96" s="350">
        <f t="shared" si="27"/>
        <v>0</v>
      </c>
      <c r="DI96" s="204"/>
      <c r="DJ96" s="204"/>
      <c r="DK96" s="204"/>
      <c r="DL96" s="204"/>
      <c r="DM96" s="204"/>
      <c r="EE96" s="215" t="s">
        <v>152</v>
      </c>
    </row>
    <row r="97" spans="38:135" ht="15.75" customHeight="1" thickBot="1" x14ac:dyDescent="0.3">
      <c r="AQ97" s="158"/>
      <c r="AR97" s="244"/>
      <c r="AS97" s="408" t="s">
        <v>31</v>
      </c>
      <c r="AT97" s="409"/>
      <c r="AU97" s="410"/>
      <c r="AV97" s="12">
        <f>SUM(AV96)</f>
        <v>100</v>
      </c>
      <c r="AW97" s="13"/>
      <c r="AX97" s="14">
        <f>SUM(AX96:AX96)</f>
        <v>3</v>
      </c>
      <c r="AY97" s="15">
        <f>SUM(AY96:AY96)</f>
        <v>115395.4296</v>
      </c>
      <c r="AZ97" s="16">
        <f>SUM(AZ96:AZ96)</f>
        <v>323.10720287999999</v>
      </c>
      <c r="BA97" s="294">
        <f>SUM(BA96)</f>
        <v>40.388400359999999</v>
      </c>
      <c r="BB97" s="295"/>
      <c r="BC97" s="95"/>
      <c r="BD97" s="95"/>
      <c r="BE97" s="95"/>
      <c r="BF97" s="95"/>
      <c r="BG97" s="95"/>
      <c r="BH97" s="95"/>
      <c r="BI97" s="95"/>
      <c r="BJ97" s="95"/>
      <c r="BK97" s="95"/>
      <c r="BL97" s="95"/>
      <c r="BM97" s="95"/>
      <c r="BN97" s="95"/>
      <c r="BO97" s="95"/>
      <c r="BP97" s="95"/>
      <c r="BQ97" s="95"/>
      <c r="BR97" s="95"/>
      <c r="BS97" s="95"/>
      <c r="BT97" s="95"/>
      <c r="BU97" s="95"/>
      <c r="BV97" s="95"/>
      <c r="BW97" s="95"/>
      <c r="BX97" s="95"/>
      <c r="BY97" s="96"/>
      <c r="BZ97" s="97"/>
      <c r="CA97" s="98"/>
      <c r="CB97" s="99"/>
      <c r="CC97" s="99"/>
      <c r="CD97" s="99"/>
      <c r="CE97" s="99"/>
      <c r="CF97" s="99"/>
      <c r="CG97" s="99"/>
      <c r="CH97" s="99"/>
      <c r="CY97" s="221">
        <v>83</v>
      </c>
      <c r="CZ97" s="212"/>
      <c r="DA97" s="204"/>
      <c r="DB97" s="204"/>
      <c r="DC97" s="204"/>
      <c r="DD97" s="204"/>
      <c r="DE97" s="350"/>
      <c r="DF97" s="350"/>
      <c r="DG97" s="350">
        <f t="shared" si="26"/>
        <v>0</v>
      </c>
      <c r="DH97" s="350">
        <f t="shared" si="27"/>
        <v>0</v>
      </c>
      <c r="DI97" s="204"/>
      <c r="DJ97" s="204"/>
      <c r="DK97" s="204"/>
      <c r="DL97" s="204"/>
      <c r="DM97" s="204"/>
      <c r="EE97" s="215" t="s">
        <v>154</v>
      </c>
    </row>
    <row r="98" spans="38:135" ht="15.75" thickBot="1" x14ac:dyDescent="0.3">
      <c r="AQ98" s="137"/>
      <c r="AR98" s="149"/>
      <c r="AS98" s="149"/>
      <c r="AT98" s="149"/>
      <c r="AU98" s="149"/>
      <c r="AV98" s="138" t="s">
        <v>74</v>
      </c>
      <c r="AW98" s="139"/>
      <c r="AX98" s="140"/>
      <c r="AY98" s="141"/>
      <c r="AZ98" s="145"/>
      <c r="BA98" s="146"/>
      <c r="BB98" s="94"/>
      <c r="BC98" s="94"/>
      <c r="BD98" s="94"/>
      <c r="BE98" s="94"/>
      <c r="BF98" s="94"/>
      <c r="BG98" s="94"/>
      <c r="BH98" s="94"/>
      <c r="BI98" s="94"/>
      <c r="BJ98" s="94"/>
      <c r="BK98" s="94"/>
      <c r="BL98" s="94"/>
      <c r="BM98" s="94"/>
      <c r="BN98" s="94"/>
      <c r="BO98" s="94"/>
      <c r="BP98" s="94"/>
      <c r="BQ98" s="94"/>
      <c r="BR98" s="94"/>
      <c r="BS98" s="94"/>
      <c r="BT98" s="94"/>
      <c r="BU98" s="94"/>
      <c r="BV98" s="94"/>
      <c r="BW98" s="94"/>
      <c r="BX98" s="94"/>
      <c r="BY98" s="96"/>
      <c r="BZ98" s="97"/>
      <c r="CA98" s="98"/>
      <c r="CB98" s="99"/>
      <c r="CC98" s="99"/>
      <c r="CD98" s="99"/>
      <c r="CE98" s="99"/>
      <c r="CF98" s="99"/>
      <c r="CG98" s="99"/>
      <c r="CH98" s="99"/>
      <c r="CY98" s="221">
        <v>84</v>
      </c>
      <c r="CZ98" s="212"/>
      <c r="DA98" s="204"/>
      <c r="DB98" s="204"/>
      <c r="DC98" s="204"/>
      <c r="DD98" s="204"/>
      <c r="DE98" s="350"/>
      <c r="DF98" s="350"/>
      <c r="DG98" s="350">
        <f t="shared" si="26"/>
        <v>0</v>
      </c>
      <c r="DH98" s="350">
        <f t="shared" si="27"/>
        <v>0</v>
      </c>
      <c r="DI98" s="204"/>
      <c r="DJ98" s="204"/>
      <c r="DK98" s="204"/>
      <c r="DL98" s="204"/>
      <c r="DM98" s="204"/>
      <c r="EE98" s="215" t="s">
        <v>156</v>
      </c>
    </row>
    <row r="99" spans="38:135" ht="15.75" customHeight="1" thickBot="1" x14ac:dyDescent="0.3">
      <c r="AP99" s="361" t="s">
        <v>74</v>
      </c>
      <c r="AQ99" s="58">
        <v>8</v>
      </c>
      <c r="AR99" s="242">
        <v>8</v>
      </c>
      <c r="AS99" s="406"/>
      <c r="AT99" s="407"/>
      <c r="AU99" s="238" t="s">
        <v>75</v>
      </c>
      <c r="AV99" s="19">
        <v>50</v>
      </c>
      <c r="AW99" s="194" t="s">
        <v>22</v>
      </c>
      <c r="AX99" s="20">
        <f>$AR$99*AV99/100</f>
        <v>4</v>
      </c>
      <c r="AY99" s="21">
        <f t="shared" si="28"/>
        <v>153860.57280000002</v>
      </c>
      <c r="AZ99" s="22">
        <f>AY99/(CL15*BB99)</f>
        <v>258.48576230400005</v>
      </c>
      <c r="BA99" s="292">
        <f t="shared" si="29"/>
        <v>32.310720288000006</v>
      </c>
      <c r="BB99" s="32">
        <v>1</v>
      </c>
      <c r="BC99" s="94"/>
      <c r="BD99" s="94"/>
      <c r="BE99" s="94"/>
      <c r="BF99" s="94"/>
      <c r="BG99" s="94"/>
      <c r="BH99" s="94"/>
      <c r="BI99" s="94"/>
      <c r="BJ99" s="94"/>
      <c r="BK99" s="94"/>
      <c r="BL99" s="94"/>
      <c r="BM99" s="94"/>
      <c r="BN99" s="94"/>
      <c r="BO99" s="94"/>
      <c r="BP99" s="94"/>
      <c r="BQ99" s="94"/>
      <c r="BR99" s="94"/>
      <c r="BS99" s="94"/>
      <c r="BT99" s="94"/>
      <c r="BU99" s="94"/>
      <c r="BV99" s="94"/>
      <c r="BW99" s="94"/>
      <c r="BX99" s="94"/>
      <c r="BY99" s="96"/>
      <c r="BZ99" s="97"/>
      <c r="CA99" s="98"/>
      <c r="CB99" s="99"/>
      <c r="CC99" s="99"/>
      <c r="CD99" s="99"/>
      <c r="CE99" s="99"/>
      <c r="CF99" s="99"/>
      <c r="CG99" s="99"/>
      <c r="CH99" s="99"/>
      <c r="CY99" s="221">
        <v>85</v>
      </c>
      <c r="CZ99" s="212"/>
      <c r="DA99" s="204"/>
      <c r="DB99" s="204"/>
      <c r="DC99" s="204"/>
      <c r="DD99" s="204"/>
      <c r="DE99" s="350"/>
      <c r="DF99" s="350"/>
      <c r="DG99" s="350">
        <f t="shared" si="26"/>
        <v>0</v>
      </c>
      <c r="DH99" s="350">
        <f t="shared" si="27"/>
        <v>0</v>
      </c>
      <c r="DI99" s="204"/>
      <c r="DJ99" s="204"/>
      <c r="DK99" s="204"/>
      <c r="DL99" s="204"/>
      <c r="DM99" s="204"/>
      <c r="EE99" s="215" t="s">
        <v>158</v>
      </c>
    </row>
    <row r="100" spans="38:135" ht="15.75" customHeight="1" thickBot="1" x14ac:dyDescent="0.3">
      <c r="AP100" s="361" t="s">
        <v>74</v>
      </c>
      <c r="AQ100" s="48"/>
      <c r="AR100" s="243"/>
      <c r="AS100" s="411"/>
      <c r="AT100" s="412"/>
      <c r="AU100" s="238" t="s">
        <v>75</v>
      </c>
      <c r="AV100" s="7">
        <v>30</v>
      </c>
      <c r="AW100" s="195" t="s">
        <v>46</v>
      </c>
      <c r="AX100" s="29">
        <f>$AR$99*AV100/100</f>
        <v>2.4</v>
      </c>
      <c r="AY100" s="5">
        <f t="shared" si="28"/>
        <v>92316.343680000005</v>
      </c>
      <c r="AZ100" s="6">
        <f>AY100/(CL29*BB100)</f>
        <v>310.18291476480005</v>
      </c>
      <c r="BA100" s="292">
        <f t="shared" si="29"/>
        <v>38.772864345600006</v>
      </c>
      <c r="BB100" s="32">
        <v>1</v>
      </c>
      <c r="BC100" s="94"/>
      <c r="BD100" s="94"/>
      <c r="BE100" s="94"/>
      <c r="BF100" s="94"/>
      <c r="BG100" s="94"/>
      <c r="BH100" s="94"/>
      <c r="BI100" s="94"/>
      <c r="BJ100" s="94"/>
      <c r="BK100" s="94"/>
      <c r="BL100" s="94"/>
      <c r="BM100" s="94"/>
      <c r="BN100" s="94"/>
      <c r="BO100" s="94"/>
      <c r="BP100" s="94"/>
      <c r="BQ100" s="94"/>
      <c r="BR100" s="94"/>
      <c r="BS100" s="94"/>
      <c r="BT100" s="94"/>
      <c r="BU100" s="94"/>
      <c r="BV100" s="94"/>
      <c r="BW100" s="94"/>
      <c r="BX100" s="94"/>
      <c r="BY100" s="100"/>
      <c r="BZ100" s="97"/>
      <c r="CA100" s="98"/>
      <c r="CB100" s="99"/>
      <c r="CC100" s="99"/>
      <c r="CD100" s="99"/>
      <c r="CE100" s="99"/>
      <c r="CF100" s="99"/>
      <c r="CG100" s="99"/>
      <c r="CH100" s="99"/>
      <c r="CY100" s="221">
        <v>86</v>
      </c>
      <c r="CZ100" s="212"/>
      <c r="DA100" s="204"/>
      <c r="DB100" s="204"/>
      <c r="DC100" s="224"/>
      <c r="DD100" s="224"/>
      <c r="DE100" s="351"/>
      <c r="DF100" s="351"/>
      <c r="DG100" s="350">
        <f t="shared" si="26"/>
        <v>0</v>
      </c>
      <c r="DH100" s="350">
        <f t="shared" si="27"/>
        <v>0</v>
      </c>
      <c r="DI100" s="204"/>
      <c r="DJ100" s="204"/>
      <c r="DK100" s="204"/>
      <c r="DL100" s="204"/>
      <c r="DM100" s="204"/>
      <c r="EE100" s="215" t="s">
        <v>160</v>
      </c>
    </row>
    <row r="101" spans="38:135" ht="15.75" customHeight="1" thickBot="1" x14ac:dyDescent="0.3">
      <c r="AP101" s="361" t="s">
        <v>74</v>
      </c>
      <c r="AQ101" s="48"/>
      <c r="AR101" s="243"/>
      <c r="AS101" s="411"/>
      <c r="AT101" s="412"/>
      <c r="AU101" s="238" t="s">
        <v>75</v>
      </c>
      <c r="AV101" s="7">
        <v>10</v>
      </c>
      <c r="AW101" s="191" t="s">
        <v>24</v>
      </c>
      <c r="AX101" s="29">
        <f>$AR$99*AV101/100</f>
        <v>0.8</v>
      </c>
      <c r="AY101" s="5">
        <f t="shared" si="28"/>
        <v>30772.114560000002</v>
      </c>
      <c r="AZ101" s="6">
        <f>AY101/(CL31*BB101)</f>
        <v>64.621440575999998</v>
      </c>
      <c r="BA101" s="292">
        <f t="shared" si="29"/>
        <v>8.0776800719999997</v>
      </c>
      <c r="BB101" s="32">
        <v>1</v>
      </c>
      <c r="BC101" s="94"/>
      <c r="BD101" s="94"/>
      <c r="BE101" s="94"/>
      <c r="BF101" s="94"/>
      <c r="BG101" s="94"/>
      <c r="BH101" s="94"/>
      <c r="BI101" s="94"/>
      <c r="BJ101" s="94"/>
      <c r="BK101" s="94"/>
      <c r="BL101" s="94"/>
      <c r="BM101" s="94"/>
      <c r="BN101" s="94"/>
      <c r="BO101" s="94"/>
      <c r="BP101" s="94"/>
      <c r="BQ101" s="94"/>
      <c r="BR101" s="94"/>
      <c r="BS101" s="94"/>
      <c r="BT101" s="94"/>
      <c r="BU101" s="94"/>
      <c r="BV101" s="94"/>
      <c r="BW101" s="94"/>
      <c r="BX101" s="94"/>
      <c r="BY101" s="100"/>
      <c r="BZ101" s="97"/>
      <c r="CA101" s="98"/>
      <c r="CB101" s="99"/>
      <c r="CC101" s="99"/>
      <c r="CD101" s="99"/>
      <c r="CE101" s="99"/>
      <c r="CF101" s="99"/>
      <c r="CG101" s="99"/>
      <c r="CH101" s="99"/>
      <c r="CY101" s="222"/>
      <c r="CZ101" s="212"/>
      <c r="DC101" s="2"/>
      <c r="DD101" s="2"/>
      <c r="DE101" s="352"/>
      <c r="DF101" s="352"/>
      <c r="DG101" s="353"/>
      <c r="DH101" s="353"/>
      <c r="EE101" s="215" t="s">
        <v>152</v>
      </c>
    </row>
    <row r="102" spans="38:135" ht="15.75" customHeight="1" thickBot="1" x14ac:dyDescent="0.3">
      <c r="AP102" s="361" t="s">
        <v>74</v>
      </c>
      <c r="AQ102" s="48"/>
      <c r="AR102" s="244"/>
      <c r="AS102" s="411"/>
      <c r="AT102" s="412"/>
      <c r="AU102" s="238" t="s">
        <v>75</v>
      </c>
      <c r="AV102" s="7">
        <v>10</v>
      </c>
      <c r="AW102" s="196" t="s">
        <v>23</v>
      </c>
      <c r="AX102" s="29">
        <f>$AR$99*AV102/100</f>
        <v>0.8</v>
      </c>
      <c r="AY102" s="5">
        <f t="shared" si="28"/>
        <v>30772.114560000002</v>
      </c>
      <c r="AZ102" s="6">
        <f>AY102/(CL16*BB102)</f>
        <v>64.621440575999998</v>
      </c>
      <c r="BA102" s="292">
        <f t="shared" si="29"/>
        <v>8.0776800719999997</v>
      </c>
      <c r="BB102" s="32">
        <v>1</v>
      </c>
      <c r="BC102" s="94"/>
      <c r="BD102" s="94"/>
      <c r="BE102" s="94"/>
      <c r="BF102" s="94"/>
      <c r="BG102" s="94"/>
      <c r="BH102" s="94"/>
      <c r="BI102" s="94"/>
      <c r="BJ102" s="94"/>
      <c r="BK102" s="94"/>
      <c r="BL102" s="94"/>
      <c r="BM102" s="94"/>
      <c r="BN102" s="94"/>
      <c r="BO102" s="94"/>
      <c r="BP102" s="94"/>
      <c r="BQ102" s="94"/>
      <c r="BR102" s="94"/>
      <c r="BS102" s="94"/>
      <c r="BT102" s="94"/>
      <c r="BU102" s="94"/>
      <c r="BV102" s="94"/>
      <c r="BW102" s="94"/>
      <c r="BX102" s="94"/>
      <c r="BY102" s="96"/>
      <c r="BZ102" s="97"/>
      <c r="CA102" s="98"/>
      <c r="CB102" s="99"/>
      <c r="CC102" s="99"/>
      <c r="CD102" s="99"/>
      <c r="CE102" s="99"/>
      <c r="CF102" s="99"/>
      <c r="CG102" s="99"/>
      <c r="CH102" s="99"/>
      <c r="CY102" s="222"/>
      <c r="CZ102" s="212"/>
      <c r="DC102" s="225"/>
      <c r="DD102" s="225"/>
      <c r="DE102" s="354"/>
      <c r="DF102" s="354"/>
      <c r="DG102" s="353"/>
      <c r="DH102" s="353"/>
      <c r="EE102" s="215" t="s">
        <v>154</v>
      </c>
    </row>
    <row r="103" spans="38:135" ht="15.75" thickBot="1" x14ac:dyDescent="0.3">
      <c r="AL103">
        <f>SUM(AR16,AR27,AR35,AR75,AR79,AR86,AR90,AR96,AR99)</f>
        <v>100</v>
      </c>
      <c r="AQ103" s="158"/>
      <c r="AR103" s="408" t="s">
        <v>31</v>
      </c>
      <c r="AS103" s="409"/>
      <c r="AT103" s="409"/>
      <c r="AU103" s="409"/>
      <c r="AV103" s="12">
        <f>SUM(AV99:AV102)</f>
        <v>100</v>
      </c>
      <c r="AW103" s="13"/>
      <c r="AX103" s="14">
        <f>SUM(AX99:AX102)</f>
        <v>8</v>
      </c>
      <c r="AY103" s="15">
        <f>SUM(AY99:AY102)</f>
        <v>307721.14560000005</v>
      </c>
      <c r="AZ103" s="16">
        <f>SUM(AZ99:AZ102)</f>
        <v>697.91155822080009</v>
      </c>
      <c r="BA103" s="294">
        <f>SUM(BA99:BA102)</f>
        <v>87.238944777600011</v>
      </c>
      <c r="BB103" s="295"/>
      <c r="BC103" s="95"/>
      <c r="BD103" s="95"/>
      <c r="BE103" s="95"/>
      <c r="BF103" s="95"/>
      <c r="BG103" s="95"/>
      <c r="BH103" s="95"/>
      <c r="BI103" s="95"/>
      <c r="BJ103" s="95"/>
      <c r="BK103" s="95"/>
      <c r="BL103" s="95"/>
      <c r="BM103" s="95"/>
      <c r="BN103" s="95"/>
      <c r="BO103" s="95"/>
      <c r="BP103" s="95"/>
      <c r="BQ103" s="95"/>
      <c r="BR103" s="95"/>
      <c r="BS103" s="95"/>
      <c r="BT103" s="95"/>
      <c r="BU103" s="95"/>
      <c r="BV103" s="95"/>
      <c r="BW103" s="95"/>
      <c r="BX103" s="95"/>
      <c r="BY103" s="101"/>
      <c r="BZ103" s="97"/>
      <c r="CA103" s="98"/>
      <c r="CB103" s="99"/>
      <c r="CC103" s="99"/>
      <c r="CD103" s="99"/>
      <c r="CE103" s="99"/>
      <c r="CF103" s="99"/>
      <c r="CG103" s="99"/>
      <c r="CH103" s="99"/>
      <c r="CY103" s="222"/>
      <c r="CZ103" s="212"/>
      <c r="DC103" s="225"/>
      <c r="DD103" s="225"/>
      <c r="DE103" s="354"/>
      <c r="DF103" s="354"/>
      <c r="DG103" s="353"/>
      <c r="DH103" s="353"/>
      <c r="EE103" s="215" t="s">
        <v>156</v>
      </c>
    </row>
    <row r="104" spans="38:135" x14ac:dyDescent="0.25">
      <c r="AQ104" s="73"/>
      <c r="AR104" s="73"/>
      <c r="AS104" s="73"/>
      <c r="AT104" s="73"/>
      <c r="AU104" s="2"/>
      <c r="BY104" s="102"/>
      <c r="BZ104" s="97"/>
      <c r="CA104" s="98"/>
      <c r="CB104" s="99"/>
      <c r="CC104" s="99"/>
      <c r="CD104" s="99"/>
      <c r="CE104" s="99"/>
      <c r="CF104" s="99"/>
      <c r="CG104" s="99"/>
      <c r="CH104" s="99"/>
      <c r="CY104" s="222"/>
      <c r="CZ104" s="212"/>
      <c r="DC104" s="225"/>
      <c r="DD104" s="225"/>
      <c r="DE104" s="354"/>
      <c r="DF104" s="354"/>
      <c r="DG104" s="353"/>
      <c r="DH104" s="353"/>
      <c r="EE104" s="215" t="s">
        <v>158</v>
      </c>
    </row>
    <row r="105" spans="38:135" x14ac:dyDescent="0.25">
      <c r="AQ105" s="416"/>
      <c r="AR105" s="417"/>
      <c r="AS105" s="417"/>
      <c r="AT105" s="417"/>
      <c r="AU105" s="417"/>
      <c r="BY105" s="101"/>
      <c r="BZ105" s="97"/>
      <c r="CA105" s="98"/>
      <c r="CB105" s="99"/>
      <c r="CC105" s="99"/>
      <c r="CD105" s="99"/>
      <c r="CE105" s="99"/>
      <c r="CF105" s="99"/>
      <c r="CG105" s="99"/>
      <c r="CH105" s="99"/>
      <c r="CY105" s="222"/>
      <c r="CZ105" s="212"/>
      <c r="DC105" s="225"/>
      <c r="DD105" s="225"/>
      <c r="DE105" s="348"/>
      <c r="DF105" s="348"/>
      <c r="DG105" s="347"/>
      <c r="DH105" s="347"/>
      <c r="EE105" s="215" t="s">
        <v>160</v>
      </c>
    </row>
    <row r="106" spans="38:135" x14ac:dyDescent="0.25">
      <c r="AQ106" s="73"/>
      <c r="AR106" s="418"/>
      <c r="AS106" s="418"/>
      <c r="AT106" s="419"/>
      <c r="AU106" s="418"/>
      <c r="AV106" s="420"/>
      <c r="BY106" s="101"/>
      <c r="BZ106" s="97"/>
      <c r="CA106" s="98"/>
      <c r="CB106" s="99"/>
      <c r="CC106" s="99"/>
      <c r="CD106" s="99"/>
      <c r="CE106" s="99"/>
      <c r="CF106" s="99"/>
      <c r="CG106" s="99"/>
      <c r="CH106" s="99"/>
      <c r="CY106" s="222"/>
      <c r="CZ106" s="212"/>
      <c r="DC106" s="225"/>
      <c r="DD106" s="225"/>
      <c r="DE106" s="348"/>
      <c r="DF106" s="348"/>
      <c r="DG106" s="347"/>
      <c r="DH106" s="347"/>
      <c r="EE106" s="215" t="s">
        <v>152</v>
      </c>
    </row>
    <row r="107" spans="38:135" x14ac:dyDescent="0.25">
      <c r="AQ107" s="73"/>
      <c r="AR107" s="418"/>
      <c r="AS107" s="418"/>
      <c r="AT107" s="419"/>
      <c r="AU107" s="418"/>
      <c r="AV107" s="420"/>
      <c r="BY107" s="101"/>
      <c r="BZ107" s="97"/>
      <c r="CA107" s="98"/>
      <c r="CB107" s="99"/>
      <c r="CC107" s="99"/>
      <c r="CD107" s="99"/>
      <c r="CE107" s="99"/>
      <c r="CF107" s="99"/>
      <c r="CG107" s="99"/>
      <c r="CH107" s="99"/>
      <c r="CY107" s="222"/>
      <c r="DC107" s="225"/>
      <c r="DD107" s="225"/>
      <c r="DE107" s="348"/>
      <c r="DF107" s="348"/>
      <c r="DG107" s="347"/>
      <c r="DH107" s="347"/>
      <c r="EE107" s="215" t="s">
        <v>154</v>
      </c>
    </row>
    <row r="108" spans="38:135" x14ac:dyDescent="0.25">
      <c r="AQ108" s="74"/>
      <c r="AR108" s="421"/>
      <c r="AS108" s="421"/>
      <c r="AT108" s="421"/>
      <c r="AU108" s="421"/>
      <c r="AV108" s="422"/>
      <c r="BY108" s="103"/>
      <c r="BZ108" s="104"/>
      <c r="CA108" s="105"/>
      <c r="CB108" s="103"/>
      <c r="CC108" s="103"/>
      <c r="CD108" s="106"/>
      <c r="CE108" s="106"/>
      <c r="CF108" s="106"/>
      <c r="CG108" s="106"/>
      <c r="CH108" s="106"/>
      <c r="CY108" s="222"/>
      <c r="DC108" s="225"/>
      <c r="DD108" s="225"/>
      <c r="DE108" s="348"/>
      <c r="DF108" s="348"/>
      <c r="DG108" s="347"/>
      <c r="DH108" s="347"/>
      <c r="EE108" s="215" t="s">
        <v>156</v>
      </c>
    </row>
    <row r="109" spans="38:135" x14ac:dyDescent="0.25">
      <c r="AQ109" s="74"/>
      <c r="AR109" s="421"/>
      <c r="AS109" s="421"/>
      <c r="AT109" s="421"/>
      <c r="AU109" s="421"/>
      <c r="AV109" s="422"/>
      <c r="CY109" s="222"/>
      <c r="DC109" s="225"/>
      <c r="DD109" s="225"/>
      <c r="DE109" s="225"/>
      <c r="DF109" s="226"/>
      <c r="EE109" s="215" t="s">
        <v>158</v>
      </c>
    </row>
    <row r="110" spans="38:135" x14ac:dyDescent="0.25">
      <c r="AQ110" s="74"/>
      <c r="AR110" s="423"/>
      <c r="AS110" s="423"/>
      <c r="AT110" s="423"/>
      <c r="AU110" s="423"/>
      <c r="AV110" s="75"/>
      <c r="CY110" s="222"/>
      <c r="DC110" s="225"/>
      <c r="DD110" s="225"/>
      <c r="DE110" s="225"/>
      <c r="DF110" s="226"/>
      <c r="EE110" s="215" t="s">
        <v>160</v>
      </c>
    </row>
    <row r="111" spans="38:135" x14ac:dyDescent="0.25">
      <c r="AQ111" s="76"/>
      <c r="AR111" s="424"/>
      <c r="AS111" s="424"/>
      <c r="AT111" s="424"/>
      <c r="AU111" s="424"/>
      <c r="AV111" s="75"/>
      <c r="CY111" s="222"/>
      <c r="DC111" s="225"/>
      <c r="DD111" s="225"/>
      <c r="DE111" s="225"/>
      <c r="DF111" s="226"/>
      <c r="EE111" s="215" t="s">
        <v>152</v>
      </c>
    </row>
    <row r="112" spans="38:135" x14ac:dyDescent="0.25">
      <c r="AQ112" s="74"/>
      <c r="AR112" s="423"/>
      <c r="AS112" s="423"/>
      <c r="AT112" s="423"/>
      <c r="AU112" s="423"/>
      <c r="AV112" s="75"/>
      <c r="CY112" s="222"/>
      <c r="DC112" s="225"/>
      <c r="DD112" s="225"/>
      <c r="DE112" s="225"/>
      <c r="DF112" s="226"/>
      <c r="EE112" s="215" t="s">
        <v>154</v>
      </c>
    </row>
    <row r="113" spans="1:135" x14ac:dyDescent="0.25">
      <c r="AQ113" s="74"/>
      <c r="AR113" s="74"/>
      <c r="AS113" s="74"/>
      <c r="AT113" s="77"/>
      <c r="AU113" s="74"/>
      <c r="AV113" s="75"/>
      <c r="DC113" s="225"/>
      <c r="DD113" s="225"/>
      <c r="DE113" s="225"/>
      <c r="DF113" s="226"/>
      <c r="EE113" s="215" t="s">
        <v>156</v>
      </c>
    </row>
    <row r="114" spans="1:135" x14ac:dyDescent="0.25">
      <c r="AQ114" s="78"/>
      <c r="AR114" s="415"/>
      <c r="AS114" s="415"/>
      <c r="AT114" s="415"/>
      <c r="AU114" s="415"/>
      <c r="AV114" s="75"/>
      <c r="DC114" s="225"/>
      <c r="DD114" s="225"/>
      <c r="DE114" s="225"/>
      <c r="DF114" s="226"/>
      <c r="EE114" s="215" t="s">
        <v>158</v>
      </c>
    </row>
    <row r="115" spans="1:135" x14ac:dyDescent="0.25">
      <c r="AQ115" s="78"/>
      <c r="AR115" s="79"/>
      <c r="AS115" s="79"/>
      <c r="AT115" s="80"/>
      <c r="AU115" s="80"/>
      <c r="AV115" s="75"/>
      <c r="DC115" s="225"/>
      <c r="DD115" s="225"/>
      <c r="DE115" s="225"/>
      <c r="DF115" s="226"/>
      <c r="EE115" s="215" t="s">
        <v>160</v>
      </c>
    </row>
    <row r="116" spans="1:135" s="83" customForma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 s="361"/>
      <c r="AQ116" s="81"/>
      <c r="AR116" s="81"/>
      <c r="AS116" s="81"/>
      <c r="AT116" s="82"/>
      <c r="AV116" s="84"/>
      <c r="DC116" s="225"/>
      <c r="DD116" s="225"/>
      <c r="DE116" s="225"/>
      <c r="DF116" s="226"/>
      <c r="EE116" s="215" t="s">
        <v>160</v>
      </c>
    </row>
    <row r="117" spans="1:135" s="83" customForma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 s="361"/>
      <c r="AQ117" s="81"/>
      <c r="AR117" s="81"/>
      <c r="AS117" s="81"/>
      <c r="AT117" s="82"/>
      <c r="AV117" s="84"/>
      <c r="DC117" s="225"/>
      <c r="DD117" s="225"/>
      <c r="DE117" s="225"/>
      <c r="DF117" s="226"/>
      <c r="EE117" s="215" t="s">
        <v>152</v>
      </c>
    </row>
    <row r="118" spans="1:135" s="83" customForma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 s="361"/>
      <c r="AQ118" s="81"/>
      <c r="AR118" s="81"/>
      <c r="AS118" s="81"/>
      <c r="AT118" s="82"/>
      <c r="AV118" s="84"/>
      <c r="DC118" s="225"/>
      <c r="DD118" s="225"/>
      <c r="DE118" s="225"/>
      <c r="DF118" s="226"/>
      <c r="EE118" s="215" t="s">
        <v>154</v>
      </c>
    </row>
    <row r="119" spans="1:135" s="83" customForma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 s="361"/>
      <c r="AQ119" s="81"/>
      <c r="AR119" s="81"/>
      <c r="AS119" s="81"/>
      <c r="AT119" s="82"/>
      <c r="AV119" s="84"/>
      <c r="AX119" s="85"/>
      <c r="AY119" s="86"/>
      <c r="AZ119" s="86"/>
      <c r="BA119" s="86"/>
      <c r="BB119" s="86"/>
      <c r="BC119" s="86"/>
      <c r="BD119" s="86"/>
      <c r="BE119" s="86"/>
      <c r="BF119" s="86"/>
      <c r="BG119" s="86"/>
      <c r="BH119" s="86"/>
      <c r="BI119" s="86"/>
      <c r="BJ119" s="86"/>
      <c r="BK119" s="86"/>
      <c r="BL119" s="86"/>
      <c r="BM119" s="86"/>
      <c r="BN119" s="86"/>
      <c r="BO119" s="86"/>
      <c r="BP119" s="86"/>
      <c r="BQ119" s="86"/>
      <c r="BR119" s="86"/>
      <c r="BS119" s="86"/>
      <c r="BT119" s="86"/>
      <c r="BU119" s="86"/>
      <c r="BV119" s="86"/>
      <c r="BW119" s="86"/>
      <c r="BX119" s="86"/>
      <c r="DC119" s="225"/>
      <c r="DD119" s="225"/>
      <c r="DE119" s="225"/>
      <c r="DF119" s="226"/>
      <c r="EE119" s="215" t="s">
        <v>156</v>
      </c>
    </row>
    <row r="120" spans="1:135" s="83" customForma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 s="361"/>
      <c r="AQ120" s="81"/>
      <c r="AR120" s="81"/>
      <c r="AS120" s="81"/>
      <c r="AT120" s="82"/>
      <c r="AV120" s="84"/>
      <c r="AY120" s="87"/>
      <c r="AZ120" s="87"/>
      <c r="BA120" s="87"/>
      <c r="BB120" s="87"/>
      <c r="BC120" s="87"/>
      <c r="BD120" s="87"/>
      <c r="BE120" s="87"/>
      <c r="BF120" s="87"/>
      <c r="BG120" s="87"/>
      <c r="BH120" s="87"/>
      <c r="BI120" s="87"/>
      <c r="BJ120" s="87"/>
      <c r="BK120" s="87"/>
      <c r="BL120" s="87"/>
      <c r="BM120" s="87"/>
      <c r="BN120" s="87"/>
      <c r="BO120" s="87"/>
      <c r="BP120" s="87"/>
      <c r="BQ120" s="87"/>
      <c r="BR120" s="87"/>
      <c r="BS120" s="87"/>
      <c r="BT120" s="87"/>
      <c r="BU120" s="87"/>
      <c r="BV120" s="87"/>
      <c r="BW120" s="87"/>
      <c r="BX120" s="87"/>
      <c r="DC120" s="225"/>
      <c r="DD120" s="225"/>
      <c r="DE120" s="225"/>
      <c r="DF120" s="226"/>
      <c r="EE120" s="215" t="s">
        <v>158</v>
      </c>
    </row>
    <row r="121" spans="1:135" s="83" customForma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 s="361"/>
      <c r="AQ121" s="81"/>
      <c r="AR121" s="81"/>
      <c r="AS121" s="81"/>
      <c r="AT121" s="82"/>
      <c r="AU121" s="81"/>
      <c r="AV121" s="88"/>
      <c r="AW121" s="82"/>
      <c r="AX121" s="82"/>
      <c r="AY121" s="82"/>
      <c r="AZ121" s="82"/>
      <c r="BA121" s="82"/>
      <c r="BB121" s="82"/>
      <c r="BC121" s="82"/>
      <c r="BD121" s="82"/>
      <c r="BE121" s="82"/>
      <c r="BF121" s="82"/>
      <c r="BG121" s="82"/>
      <c r="BH121" s="82"/>
      <c r="BI121" s="82"/>
      <c r="BJ121" s="82"/>
      <c r="BK121" s="82"/>
      <c r="BL121" s="82"/>
      <c r="BM121" s="82"/>
      <c r="BN121" s="82"/>
      <c r="BO121" s="82"/>
      <c r="BP121" s="82"/>
      <c r="BQ121" s="82"/>
      <c r="BR121" s="82"/>
      <c r="BS121" s="82"/>
      <c r="BT121" s="82"/>
      <c r="BU121" s="82"/>
      <c r="BV121" s="82"/>
      <c r="BW121" s="82"/>
      <c r="BX121" s="82"/>
      <c r="DC121" s="225"/>
      <c r="DD121" s="225"/>
      <c r="DE121" s="225"/>
      <c r="DF121" s="226"/>
      <c r="EE121" s="215" t="s">
        <v>160</v>
      </c>
    </row>
    <row r="122" spans="1:135" s="107" customFormat="1" x14ac:dyDescent="0.25">
      <c r="AP122" s="362"/>
      <c r="AQ122" s="116"/>
      <c r="AR122" s="116"/>
      <c r="AS122" s="116"/>
      <c r="AT122" s="117"/>
      <c r="AU122" s="116"/>
      <c r="AV122" s="118"/>
      <c r="AW122" s="117"/>
      <c r="AX122" s="119"/>
      <c r="AY122" s="119"/>
      <c r="AZ122" s="119"/>
      <c r="BA122" s="119"/>
      <c r="BB122" s="119"/>
      <c r="BC122" s="119"/>
      <c r="BD122" s="119"/>
      <c r="BE122" s="119"/>
      <c r="BF122" s="119"/>
      <c r="BG122" s="119"/>
      <c r="BH122" s="119"/>
      <c r="BI122" s="119"/>
      <c r="BJ122" s="119"/>
      <c r="BK122" s="119"/>
      <c r="BL122" s="119"/>
      <c r="BM122" s="119"/>
      <c r="BN122" s="119"/>
      <c r="BO122" s="119"/>
      <c r="BP122" s="119"/>
      <c r="BQ122" s="119"/>
      <c r="BR122" s="119"/>
      <c r="BS122" s="119"/>
      <c r="BT122" s="119"/>
      <c r="BU122" s="119"/>
      <c r="BV122" s="119"/>
      <c r="BW122" s="119"/>
      <c r="BX122" s="119"/>
      <c r="DC122" s="225"/>
      <c r="DD122" s="225"/>
      <c r="DE122" s="225"/>
      <c r="DF122" s="226"/>
      <c r="EE122" s="215" t="s">
        <v>152</v>
      </c>
    </row>
    <row r="123" spans="1:135" s="83" customForma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 s="361"/>
      <c r="AQ123" s="81"/>
      <c r="AR123" s="81"/>
      <c r="AS123" s="81"/>
      <c r="AT123" s="82"/>
      <c r="AU123" s="81"/>
      <c r="AV123" s="88"/>
      <c r="AW123" s="82"/>
      <c r="AX123" s="82"/>
      <c r="AY123" s="82"/>
      <c r="AZ123" s="82"/>
      <c r="BA123" s="82"/>
      <c r="BB123" s="82"/>
      <c r="BC123" s="82"/>
      <c r="BD123" s="82"/>
      <c r="BE123" s="82"/>
      <c r="BF123" s="82"/>
      <c r="BG123" s="82"/>
      <c r="BH123" s="82"/>
      <c r="BI123" s="82"/>
      <c r="BJ123" s="82"/>
      <c r="BK123" s="82"/>
      <c r="BL123" s="82"/>
      <c r="BM123" s="82"/>
      <c r="BN123" s="82"/>
      <c r="BO123" s="82"/>
      <c r="BP123" s="82"/>
      <c r="BQ123" s="82"/>
      <c r="BR123" s="82"/>
      <c r="BS123" s="82"/>
      <c r="BT123" s="82"/>
      <c r="BU123" s="82"/>
      <c r="BV123" s="82"/>
      <c r="BW123" s="82"/>
      <c r="BX123" s="82"/>
      <c r="DC123" s="225"/>
      <c r="DD123" s="225"/>
      <c r="DE123" s="225"/>
      <c r="DF123" s="226"/>
      <c r="EE123" s="215" t="s">
        <v>154</v>
      </c>
    </row>
    <row r="124" spans="1:135" s="83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 s="361"/>
      <c r="AV124" s="84"/>
      <c r="DC124" s="225"/>
      <c r="DD124" s="225"/>
      <c r="DE124" s="225"/>
      <c r="DF124" s="226"/>
      <c r="EE124" s="215" t="s">
        <v>156</v>
      </c>
    </row>
    <row r="125" spans="1:135" s="83" customForma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 s="361"/>
      <c r="AV125" s="84"/>
      <c r="DC125" s="225"/>
      <c r="DD125" s="225"/>
      <c r="DE125" s="225"/>
      <c r="DF125" s="226"/>
      <c r="EE125" s="215" t="s">
        <v>158</v>
      </c>
    </row>
    <row r="126" spans="1:135" s="83" customForma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 s="361"/>
      <c r="AV126" s="84"/>
      <c r="DC126" s="225"/>
      <c r="DD126" s="225"/>
      <c r="DE126" s="225"/>
      <c r="DF126" s="226"/>
      <c r="EE126" s="215" t="s">
        <v>160</v>
      </c>
    </row>
    <row r="127" spans="1:135" s="83" customForma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 s="361"/>
      <c r="AV127" s="84"/>
      <c r="DC127" s="225"/>
      <c r="DD127" s="225"/>
      <c r="DE127" s="225"/>
      <c r="DF127" s="226"/>
      <c r="EE127" s="215" t="s">
        <v>152</v>
      </c>
    </row>
    <row r="128" spans="1:135" s="83" customForma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 s="361"/>
      <c r="AV128" s="84"/>
      <c r="DC128" s="225"/>
      <c r="DD128" s="225"/>
      <c r="DE128" s="225"/>
      <c r="DF128" s="226"/>
      <c r="EE128" s="215" t="s">
        <v>154</v>
      </c>
    </row>
    <row r="129" spans="1:135" s="83" customForma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 s="361"/>
      <c r="AV129" s="84"/>
      <c r="DC129" s="225"/>
      <c r="DD129" s="225"/>
      <c r="DE129" s="225"/>
      <c r="DF129" s="226"/>
      <c r="EE129" s="215" t="s">
        <v>156</v>
      </c>
    </row>
    <row r="130" spans="1:135" s="83" customForma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 s="361"/>
      <c r="AV130" s="84"/>
      <c r="DC130" s="225"/>
      <c r="DD130" s="225"/>
      <c r="DE130" s="225"/>
      <c r="DF130" s="226"/>
    </row>
    <row r="131" spans="1:135" s="83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 s="361"/>
      <c r="AV131" s="84"/>
      <c r="DC131" s="225"/>
      <c r="DD131" s="225"/>
      <c r="DE131" s="225"/>
      <c r="DF131" s="226"/>
    </row>
    <row r="132" spans="1:135" s="83" customForma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 s="361"/>
      <c r="AV132" s="84"/>
      <c r="DC132" s="225"/>
      <c r="DD132" s="225"/>
      <c r="DE132" s="225"/>
      <c r="DF132" s="226"/>
    </row>
    <row r="133" spans="1:135" s="83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 s="361"/>
      <c r="AV133" s="84"/>
      <c r="DC133" s="225"/>
      <c r="DD133" s="225"/>
      <c r="DE133" s="225"/>
      <c r="DF133" s="226"/>
    </row>
    <row r="134" spans="1:135" x14ac:dyDescent="0.25">
      <c r="DC134" s="225"/>
      <c r="DD134" s="225"/>
      <c r="DE134" s="225"/>
      <c r="DF134" s="226"/>
    </row>
    <row r="135" spans="1:135" x14ac:dyDescent="0.25">
      <c r="DC135" s="225"/>
      <c r="DD135" s="225"/>
      <c r="DE135" s="225"/>
      <c r="DF135" s="226"/>
    </row>
    <row r="136" spans="1:135" x14ac:dyDescent="0.25">
      <c r="DC136" s="2"/>
      <c r="DD136" s="2"/>
      <c r="DE136" s="2"/>
      <c r="DF136" s="2"/>
    </row>
    <row r="140" spans="1:135" x14ac:dyDescent="0.25">
      <c r="DC140" s="227"/>
      <c r="DD140" s="228"/>
      <c r="DE140" s="228"/>
      <c r="DF140" s="228"/>
    </row>
  </sheetData>
  <mergeCells count="41">
    <mergeCell ref="AE13:AK13"/>
    <mergeCell ref="BY7:CD7"/>
    <mergeCell ref="BY81:CD81"/>
    <mergeCell ref="BY82:BY88"/>
    <mergeCell ref="BZ82:BZ88"/>
    <mergeCell ref="CA82:CA88"/>
    <mergeCell ref="CB82:CB88"/>
    <mergeCell ref="CC82:CC88"/>
    <mergeCell ref="CD82:CD88"/>
    <mergeCell ref="AR77:AU77"/>
    <mergeCell ref="AR84:AU84"/>
    <mergeCell ref="AQ8:AX8"/>
    <mergeCell ref="AQ9:AX9"/>
    <mergeCell ref="AQ10:AX10"/>
    <mergeCell ref="AR25:AU25"/>
    <mergeCell ref="AR114:AU114"/>
    <mergeCell ref="AQ105:AU105"/>
    <mergeCell ref="AR106:AT106"/>
    <mergeCell ref="AU106:AV106"/>
    <mergeCell ref="AR107:AT107"/>
    <mergeCell ref="AU107:AV107"/>
    <mergeCell ref="AR108:AT108"/>
    <mergeCell ref="AU108:AV108"/>
    <mergeCell ref="AR109:AT109"/>
    <mergeCell ref="AU109:AV109"/>
    <mergeCell ref="AR110:AU110"/>
    <mergeCell ref="AR111:AU111"/>
    <mergeCell ref="AR112:AU112"/>
    <mergeCell ref="AS96:AT96"/>
    <mergeCell ref="AS97:AU97"/>
    <mergeCell ref="AS99:AT102"/>
    <mergeCell ref="AR103:AU103"/>
    <mergeCell ref="AS86:AT87"/>
    <mergeCell ref="AR88:AU88"/>
    <mergeCell ref="AS90:AT92"/>
    <mergeCell ref="AR94:AU94"/>
    <mergeCell ref="CY12:DL12"/>
    <mergeCell ref="AQ11:AX11"/>
    <mergeCell ref="AR14:AT14"/>
    <mergeCell ref="AQ13:BB13"/>
    <mergeCell ref="BY13:CO1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 altText="форма_x000a_">
                <anchor moveWithCells="1" sizeWithCells="1">
                  <from>
                    <xdr:col>30</xdr:col>
                    <xdr:colOff>0</xdr:colOff>
                    <xdr:row>1</xdr:row>
                    <xdr:rowOff>9525</xdr:rowOff>
                  </from>
                  <to>
                    <xdr:col>51</xdr:col>
                    <xdr:colOff>542925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Кнопка1_Щелчок" altText="форма_x000a_">
                <anchor moveWithCells="1" sizeWithCells="1">
                  <from>
                    <xdr:col>86</xdr:col>
                    <xdr:colOff>333375</xdr:colOff>
                    <xdr:row>1</xdr:row>
                    <xdr:rowOff>9525</xdr:rowOff>
                  </from>
                  <to>
                    <xdr:col>92</xdr:col>
                    <xdr:colOff>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Кнопка1_Щелчок" altText="форма_x000a_">
                <anchor moveWithCells="1" sizeWithCells="1">
                  <from>
                    <xdr:col>108</xdr:col>
                    <xdr:colOff>381000</xdr:colOff>
                    <xdr:row>1</xdr:row>
                    <xdr:rowOff>28575</xdr:rowOff>
                  </from>
                  <to>
                    <xdr:col>109</xdr:col>
                    <xdr:colOff>666750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KTY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war</dc:creator>
  <cp:lastModifiedBy>war</cp:lastModifiedBy>
  <dcterms:created xsi:type="dcterms:W3CDTF">2006-09-16T00:00:00Z</dcterms:created>
  <dcterms:modified xsi:type="dcterms:W3CDTF">2017-03-03T17:00:19Z</dcterms:modified>
</cp:coreProperties>
</file>